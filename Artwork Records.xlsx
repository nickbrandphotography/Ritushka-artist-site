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Artwork Register" sheetId="2" state="visible" r:id="rId4"/>
    <sheet name="Field Guide" sheetId="3" state="visible" r:id="rId5"/>
    <sheet name="Summary" sheetId="4" state="visible" r:id="rId6"/>
    <sheet name="Li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<sst xmlns="http://schemas.openxmlformats.org/spreadsheetml/2006/main" count="640" uniqueCount="376">
  <si>
    <t xml:space="preserve">Artwork Records — how to use this workbook</t>
  </si>
  <si>
    <t xml:space="preserve">TABS</t>
  </si>
  <si>
    <t xml:space="preserve">• Artwork Register — your master list. One row per artwork. Start at row 3 (rows 3–4 are filled-in examples you can overwrite or delete).</t>
  </si>
  <si>
    <t xml:space="preserve">• Field Guide — explains every column in plain English.</t>
  </si>
  <si>
    <t xml:space="preserve">• Summary — live totals (counts, sales, profit). Updates automatically.</t>
  </si>
  <si>
    <t xml:space="preserve">• Lists — the menus behind the dropdowns. Edit these to add your own options.</t>
  </si>
  <si>
    <t xml:space="preserve">HOW TO START</t>
  </si>
  <si>
    <t xml:space="preserve">1. Give each piece an Inventory ID (RIT-0001, RIT-0002 …) and never reuse one.</t>
  </si>
  <si>
    <t xml:space="preserve">2. Fill left to right. Grey/blue dropdown cells: click the arrow to pick a value.</t>
  </si>
  <si>
    <t xml:space="preserve">3. Leave the AUTO columns alone — they calculate themselves (totals, inches, net, profit, balance).</t>
  </si>
  <si>
    <t xml:space="preserve">4. Add more rows below row 120 if you need them — copy a formula row down so the auto-columns keep working.</t>
  </si>
  <si>
    <t xml:space="preserve">TIPS</t>
  </si>
  <si>
    <t xml:space="preserve">• Freeze panes keep the ID + Title visible as you scroll — handy with this many columns.</t>
  </si>
  <si>
    <t xml:space="preserve">• Fill 'Story Behind the Work', 'Keywords' and the SEO columns — they feed straight into your website and AI discovery.</t>
  </si>
  <si>
    <t xml:space="preserve">• Back this file up regularly. It's the single source of truth for your collection.</t>
  </si>
  <si>
    <t xml:space="preserve">• Opens cleanly in LibreOffice Calc; dropdowns, formulas and formatting all carry across.</t>
  </si>
  <si>
    <t xml:space="preserve">IDENTIFICATION</t>
  </si>
  <si>
    <t xml:space="preserve">ARTWORK &amp; STORY</t>
  </si>
  <si>
    <t xml:space="preserve">DIMENSIONS</t>
  </si>
  <si>
    <t xml:space="preserve">PRODUCTION COST</t>
  </si>
  <si>
    <t xml:space="preserve">PRICING &amp; SALE</t>
  </si>
  <si>
    <t xml:space="preserve">BUYER / COLLECTOR</t>
  </si>
  <si>
    <t xml:space="preserve">EXHIBITION &amp; PROVENANCE</t>
  </si>
  <si>
    <t xml:space="preserve">LOCATION &amp; INSURANCE</t>
  </si>
  <si>
    <t xml:space="preserve">LOGISTICS &amp; SHIPPING</t>
  </si>
  <si>
    <t xml:space="preserve">DIGITAL / WEB / SEO</t>
  </si>
  <si>
    <t xml:space="preserve">NOTES</t>
  </si>
  <si>
    <t xml:space="preserve">Inventory ID</t>
  </si>
  <si>
    <t xml:space="preserve">Title</t>
  </si>
  <si>
    <t xml:space="preserve">Alternative / Working Title</t>
  </si>
  <si>
    <t xml:space="preserve">Series / Collection</t>
  </si>
  <si>
    <t xml:space="preserve">Year Created</t>
  </si>
  <si>
    <t xml:space="preserve">Date Started</t>
  </si>
  <si>
    <t xml:space="preserve">Date Completed</t>
  </si>
  <si>
    <t xml:space="preserve">Status</t>
  </si>
  <si>
    <t xml:space="preserve">Medium</t>
  </si>
  <si>
    <t xml:space="preserve">Support / Substrate</t>
  </si>
  <si>
    <t xml:space="preserve">Surface / Texture</t>
  </si>
  <si>
    <t xml:space="preserve">Style / Genre</t>
  </si>
  <si>
    <t xml:space="preserve">Subject / Theme</t>
  </si>
  <si>
    <t xml:space="preserve">Description</t>
  </si>
  <si>
    <t xml:space="preserve">Story Behind the Work</t>
  </si>
  <si>
    <t xml:space="preserve">Inspiration / Location</t>
  </si>
  <si>
    <t xml:space="preserve">Dominant Colours</t>
  </si>
  <si>
    <t xml:space="preserve">Colour Palette / Hex</t>
  </si>
  <si>
    <t xml:space="preserve">Keywords / Tags</t>
  </si>
  <si>
    <t xml:space="preserve">Orientation</t>
  </si>
  <si>
    <t xml:space="preserve">Height (cm)</t>
  </si>
  <si>
    <t xml:space="preserve">Width (cm)</t>
  </si>
  <si>
    <t xml:space="preserve">Depth (cm)</t>
  </si>
  <si>
    <t xml:space="preserve">Height (in)</t>
  </si>
  <si>
    <t xml:space="preserve">Width (in)</t>
  </si>
  <si>
    <t xml:space="preserve">Depth (in)</t>
  </si>
  <si>
    <t xml:space="preserve">Framed?</t>
  </si>
  <si>
    <t xml:space="preserve">Frame Description</t>
  </si>
  <si>
    <t xml:space="preserve">Framed Height (cm)</t>
  </si>
  <si>
    <t xml:space="preserve">Framed Width (cm)</t>
  </si>
  <si>
    <t xml:space="preserve">Framed Depth (cm)</t>
  </si>
  <si>
    <t xml:space="preserve">Weight (kg)</t>
  </si>
  <si>
    <t xml:space="preserve">Edition Type</t>
  </si>
  <si>
    <t xml:space="preserve">Edition Number</t>
  </si>
  <si>
    <t xml:space="preserve">Edition Size</t>
  </si>
  <si>
    <t xml:space="preserve">Signed?</t>
  </si>
  <si>
    <t xml:space="preserve">Signature Location</t>
  </si>
  <si>
    <t xml:space="preserve">Certificate of Authenticity?</t>
  </si>
  <si>
    <t xml:space="preserve">COA Number</t>
  </si>
  <si>
    <t xml:space="preserve">Materials Cost</t>
  </si>
  <si>
    <t xml:space="preserve">Framing Cost</t>
  </si>
  <si>
    <t xml:space="preserve">Photography Cost</t>
  </si>
  <si>
    <t xml:space="preserve">Other Costs</t>
  </si>
  <si>
    <t xml:space="preserve">Total Cost to Produce</t>
  </si>
  <si>
    <t xml:space="preserve">Hours Spent</t>
  </si>
  <si>
    <t xml:space="preserve">Currency</t>
  </si>
  <si>
    <t xml:space="preserve">List Price</t>
  </si>
  <si>
    <t xml:space="preserve">Price per sq cm</t>
  </si>
  <si>
    <t xml:space="preserve">Discount</t>
  </si>
  <si>
    <t xml:space="preserve">Sale Price</t>
  </si>
  <si>
    <t xml:space="preserve">Gallery / Platform Fee %</t>
  </si>
  <si>
    <t xml:space="preserve">Gallery / Platform Fee</t>
  </si>
  <si>
    <t xml:space="preserve">Net to Artist</t>
  </si>
  <si>
    <t xml:space="preserve">Gross Profit</t>
  </si>
  <si>
    <t xml:space="preserve">Tax / GST</t>
  </si>
  <si>
    <t xml:space="preserve">Deposit Paid</t>
  </si>
  <si>
    <t xml:space="preserve">Balance Due</t>
  </si>
  <si>
    <t xml:space="preserve">Payment Method</t>
  </si>
  <si>
    <t xml:space="preserve">Payment Status</t>
  </si>
  <si>
    <t xml:space="preserve">Date Sold</t>
  </si>
  <si>
    <t xml:space="preserve">Invoice Number</t>
  </si>
  <si>
    <t xml:space="preserve">Sold Through</t>
  </si>
  <si>
    <t xml:space="preserve">Buyer Name</t>
  </si>
  <si>
    <t xml:space="preserve">Buyer Type</t>
  </si>
  <si>
    <t xml:space="preserve">Buyer Email</t>
  </si>
  <si>
    <t xml:space="preserve">Buyer Phone</t>
  </si>
  <si>
    <t xml:space="preserve">Buyer Address / City</t>
  </si>
  <si>
    <t xml:space="preserve">Buyer Country</t>
  </si>
  <si>
    <t xml:space="preserve">Referred By</t>
  </si>
  <si>
    <t xml:space="preserve">Added to Mailing List?</t>
  </si>
  <si>
    <t xml:space="preserve">Repeat Collector?</t>
  </si>
  <si>
    <t xml:space="preserve">Follow-up Notes</t>
  </si>
  <si>
    <t xml:space="preserve">Exhibited?</t>
  </si>
  <si>
    <t xml:space="preserve">Exhibition History</t>
  </si>
  <si>
    <t xml:space="preserve">Awards / Recognition</t>
  </si>
  <si>
    <t xml:space="preserve">Press / Publications</t>
  </si>
  <si>
    <t xml:space="preserve">Provenance</t>
  </si>
  <si>
    <t xml:space="preserve">Reproduction / Licensing Rights</t>
  </si>
  <si>
    <t xml:space="preserve">Current Location</t>
  </si>
  <si>
    <t xml:space="preserve">On Loan To</t>
  </si>
  <si>
    <t xml:space="preserve">Loan Return Date</t>
  </si>
  <si>
    <t xml:space="preserve">Insured?</t>
  </si>
  <si>
    <t xml:space="preserve">Insurance Value</t>
  </si>
  <si>
    <t xml:space="preserve">Condition</t>
  </si>
  <si>
    <t xml:space="preserve">Condition Notes</t>
  </si>
  <si>
    <t xml:space="preserve">Packaged Length (cm)</t>
  </si>
  <si>
    <t xml:space="preserve">Packaged Width (cm)</t>
  </si>
  <si>
    <t xml:space="preserve">Packaged Depth (cm)</t>
  </si>
  <si>
    <t xml:space="preserve">Shipping Weight (kg)</t>
  </si>
  <si>
    <t xml:space="preserve">Crating Required?</t>
  </si>
  <si>
    <t xml:space="preserve">Ready to Hang?</t>
  </si>
  <si>
    <t xml:space="preserve">Hanging Hardware</t>
  </si>
  <si>
    <t xml:space="preserve">Shipping Method</t>
  </si>
  <si>
    <t xml:space="preserve">Shipping Cost</t>
  </si>
  <si>
    <t xml:space="preserve">Tracking Number</t>
  </si>
  <si>
    <t xml:space="preserve">Date Shipped</t>
  </si>
  <si>
    <t xml:space="preserve">Delivery Confirmed?</t>
  </si>
  <si>
    <t xml:space="preserve">Photographed?</t>
  </si>
  <si>
    <t xml:space="preserve">Image File Name(s)</t>
  </si>
  <si>
    <t xml:space="preserve">Number of Images</t>
  </si>
  <si>
    <t xml:space="preserve">Mockups Created</t>
  </si>
  <si>
    <t xml:space="preserve">URL Slug</t>
  </si>
  <si>
    <t xml:space="preserve">Live Webpage URL</t>
  </si>
  <si>
    <t xml:space="preserve">Listed Online?</t>
  </si>
  <si>
    <t xml:space="preserve">SEO Meta Title</t>
  </si>
  <si>
    <t xml:space="preserve">SEO Meta Description</t>
  </si>
  <si>
    <t xml:space="preserve">Image Alt Text</t>
  </si>
  <si>
    <t xml:space="preserve">Social Posted?</t>
  </si>
  <si>
    <t xml:space="preserve">General Notes</t>
  </si>
  <si>
    <t xml:space="preserve">Last Updated</t>
  </si>
  <si>
    <t xml:space="preserve">RIT-0001</t>
  </si>
  <si>
    <t xml:space="preserve">Coastal Rhythm</t>
  </si>
  <si>
    <t xml:space="preserve">Abstract Seascapes</t>
  </si>
  <si>
    <t xml:space="preserve">2025-03-14</t>
  </si>
  <si>
    <t xml:space="preserve">Available</t>
  </si>
  <si>
    <t xml:space="preserve">Acrylic &amp; oil on canvas</t>
  </si>
  <si>
    <t xml:space="preserve">Stretched canvas</t>
  </si>
  <si>
    <t xml:space="preserve">Contemporary abstract</t>
  </si>
  <si>
    <t xml:space="preserve">Ocean / coast</t>
  </si>
  <si>
    <t xml:space="preserve">Layered blues and whites evoking the movement of tide over sand.</t>
  </si>
  <si>
    <t xml:space="preserve">Painted after early-morning walks along the coast; captures the meeting of sea and shore.</t>
  </si>
  <si>
    <t xml:space="preserve">Blue, white, sand</t>
  </si>
  <si>
    <t xml:space="preserve">abstract seascape, coastal art, blue painting</t>
  </si>
  <si>
    <t xml:space="preserve">Landscape</t>
  </si>
  <si>
    <t xml:space="preserve">No</t>
  </si>
  <si>
    <t xml:space="preserve">Original</t>
  </si>
  <si>
    <t xml:space="preserve">Yes</t>
  </si>
  <si>
    <t xml:space="preserve">Verso</t>
  </si>
  <si>
    <t xml:space="preserve">COA-0001</t>
  </si>
  <si>
    <t xml:space="preserve">AUD</t>
  </si>
  <si>
    <t xml:space="preserve">Unpaid</t>
  </si>
  <si>
    <t xml:space="preserve">Website</t>
  </si>
  <si>
    <t xml:space="preserve">Studio</t>
  </si>
  <si>
    <t xml:space="preserve">Excellent</t>
  </si>
  <si>
    <t xml:space="preserve">coastal-rhythm</t>
  </si>
  <si>
    <t xml:space="preserve">/artwork/coastal-rhythm</t>
  </si>
  <si>
    <t xml:space="preserve">Coastal Rhythm | Abstract Seascape Painting</t>
  </si>
  <si>
    <t xml:space="preserve">2026-06-25</t>
  </si>
  <si>
    <t xml:space="preserve">RIT-0002</t>
  </si>
  <si>
    <t xml:space="preserve">Tidal Memory</t>
  </si>
  <si>
    <t xml:space="preserve">2024-11-02</t>
  </si>
  <si>
    <t xml:space="preserve">Sold</t>
  </si>
  <si>
    <t xml:space="preserve">Oil on linen</t>
  </si>
  <si>
    <t xml:space="preserve">Belgian linen</t>
  </si>
  <si>
    <t xml:space="preserve">Ocean / memory</t>
  </si>
  <si>
    <t xml:space="preserve">Soft horizon bands dissolving into texture and light.</t>
  </si>
  <si>
    <t xml:space="preserve">Teal, grey, cream</t>
  </si>
  <si>
    <t xml:space="preserve">Floating oak frame</t>
  </si>
  <si>
    <t xml:space="preserve">Paid</t>
  </si>
  <si>
    <t xml:space="preserve">2025-01-20</t>
  </si>
  <si>
    <t xml:space="preserve">INV-0042</t>
  </si>
  <si>
    <t xml:space="preserve">Gallery</t>
  </si>
  <si>
    <t xml:space="preserve">(private collector)</t>
  </si>
  <si>
    <t xml:space="preserve">Collector</t>
  </si>
  <si>
    <t xml:space="preserve">Australia</t>
  </si>
  <si>
    <t xml:space="preserve">Summer Group Show, Coastal Gallery, 2024</t>
  </si>
  <si>
    <t xml:space="preserve">Buyer (Sydney)</t>
  </si>
  <si>
    <t xml:space="preserve">tidal-memory</t>
  </si>
  <si>
    <t xml:space="preserve">Field Guide — what to put in each column</t>
  </si>
  <si>
    <t xml:space="preserve">Every column in the Artwork Register, grouped, with a plain-English note on what it's for.</t>
  </si>
  <si>
    <t xml:space="preserve">#</t>
  </si>
  <si>
    <t xml:space="preserve">Column</t>
  </si>
  <si>
    <t xml:space="preserve">Group</t>
  </si>
  <si>
    <t xml:space="preserve">What to enter / why it matters</t>
  </si>
  <si>
    <t xml:space="preserve">Unique code for each piece (e.g. RIT-0001). Your master key — never reuse a number.</t>
  </si>
  <si>
    <t xml:space="preserve">The artwork's name as you'd show it publicly.</t>
  </si>
  <si>
    <t xml:space="preserve">Studio nickname or earlier title, for your own searching.</t>
  </si>
  <si>
    <t xml:space="preserve">Which body of work / collection it belongs to (links to a collection page).</t>
  </si>
  <si>
    <t xml:space="preserve">Year the work was finished — used on labels, certificates and listings.</t>
  </si>
  <si>
    <t xml:space="preserve">When you began the piece.</t>
  </si>
  <si>
    <t xml:space="preserve">When you signed it off. Drives 'newest work' sorting.</t>
  </si>
  <si>
    <t xml:space="preserve">Current state — Available, Sold, Reserved, Commission, etc. Pick from dropdown.</t>
  </si>
  <si>
    <t xml:space="preserve">Materials used, e.g. 'Acrylic &amp; oil on canvas'.</t>
  </si>
  <si>
    <t xml:space="preserve">What it's painted on — canvas, linen, board, paper.</t>
  </si>
  <si>
    <t xml:space="preserve">Finish notes — heavy impasto, smooth, varnished, matte.</t>
  </si>
  <si>
    <t xml:space="preserve">e.g. Contemporary abstract, abstract landscape.</t>
  </si>
  <si>
    <t xml:space="preserve">What it depicts or evokes — ocean, coast, horizon.</t>
  </si>
  <si>
    <t xml:space="preserve">Short public description for the website / catalogue.</t>
  </si>
  <si>
    <t xml:space="preserve">The narrative — what inspired it. Sells the piece and feeds SEO/AI.</t>
  </si>
  <si>
    <t xml:space="preserve">Place or moment that inspired it.</t>
  </si>
  <si>
    <t xml:space="preserve">Main colours, in words (helps buyers search 'blue painting').</t>
  </si>
  <si>
    <t xml:space="preserve">Optional hex codes for matching to interiors.</t>
  </si>
  <si>
    <t xml:space="preserve">Search terms for your own filtering and for web SEO.</t>
  </si>
  <si>
    <t xml:space="preserve">Landscape / Portrait / Square / Panoramic.</t>
  </si>
  <si>
    <t xml:space="preserve">Unframed height in centimetres.</t>
  </si>
  <si>
    <t xml:space="preserve">Unframed width in centimetres.</t>
  </si>
  <si>
    <t xml:space="preserve">Canvas/panel depth in centimetres.</t>
  </si>
  <si>
    <t xml:space="preserve">Auto-converted from cm.</t>
  </si>
  <si>
    <t xml:space="preserve">Is it framed? Yes/No.</t>
  </si>
  <si>
    <t xml:space="preserve">Frame type, colour, material.</t>
  </si>
  <si>
    <t xml:space="preserve">Outer height including frame.</t>
  </si>
  <si>
    <t xml:space="preserve">Outer width including frame.</t>
  </si>
  <si>
    <t xml:space="preserve">Outer depth including frame.</t>
  </si>
  <si>
    <t xml:space="preserve">Weight of the work (for shipping &amp; hanging).</t>
  </si>
  <si>
    <t xml:space="preserve">Original, limited edition print, diptych, etc.</t>
  </si>
  <si>
    <t xml:space="preserve">e.g. 3 (of an edition).</t>
  </si>
  <si>
    <t xml:space="preserve">Total prints in the edition, if applicable.</t>
  </si>
  <si>
    <t xml:space="preserve">Is it signed? Yes/No.</t>
  </si>
  <si>
    <t xml:space="preserve">Front lower-right, verso, etc.</t>
  </si>
  <si>
    <t xml:space="preserve">Does it have a COA? Yes/No.</t>
  </si>
  <si>
    <t xml:space="preserve">Matching certificate number.</t>
  </si>
  <si>
    <t xml:space="preserve">What the materials cost you. Feeds Total Cost (auto).</t>
  </si>
  <si>
    <t xml:space="preserve">Cost of framing.</t>
  </si>
  <si>
    <t xml:space="preserve">Cost to professionally photograph it.</t>
  </si>
  <si>
    <t xml:space="preserve">Any other production cost.</t>
  </si>
  <si>
    <t xml:space="preserve">AUTO — sums the cost columns.</t>
  </si>
  <si>
    <t xml:space="preserve">Studio hours — handy for pricing review.</t>
  </si>
  <si>
    <t xml:space="preserve">Currency the price is in.</t>
  </si>
  <si>
    <t xml:space="preserve">Your asking price.</t>
  </si>
  <si>
    <t xml:space="preserve">AUTO — price ÷ (h×w). Sanity-check pricing consistency.</t>
  </si>
  <si>
    <t xml:space="preserve">Any discount given (as a %).</t>
  </si>
  <si>
    <t xml:space="preserve">Final price it actually sold for.</t>
  </si>
  <si>
    <t xml:space="preserve">Commission % taken by gallery/platform.</t>
  </si>
  <si>
    <t xml:space="preserve">AUTO — sale price × fee %.</t>
  </si>
  <si>
    <t xml:space="preserve">AUTO — sale price minus fee and tax.</t>
  </si>
  <si>
    <t xml:space="preserve">AUTO — net to artist minus total cost to produce.</t>
  </si>
  <si>
    <t xml:space="preserve">Tax collected on the sale, if any.</t>
  </si>
  <si>
    <t xml:space="preserve">Deposit received (for commissions / instalments).</t>
  </si>
  <si>
    <t xml:space="preserve">AUTO — sale price minus deposit.</t>
  </si>
  <si>
    <t xml:space="preserve">How the buyer paid.</t>
  </si>
  <si>
    <t xml:space="preserve">Unpaid / Deposit / Paid in full.</t>
  </si>
  <si>
    <t xml:space="preserve">Date of sale.</t>
  </si>
  <si>
    <t xml:space="preserve">Your invoice reference.</t>
  </si>
  <si>
    <t xml:space="preserve">Channel the sale came through.</t>
  </si>
  <si>
    <t xml:space="preserve">Buyer / collector name.</t>
  </si>
  <si>
    <t xml:space="preserve">Collector, designer, architect, corporate, etc.</t>
  </si>
  <si>
    <t xml:space="preserve">For receipts, follow-up and mailing list.</t>
  </si>
  <si>
    <t xml:space="preserve">Contact number.</t>
  </si>
  <si>
    <t xml:space="preserve">Where it's going / billing.</t>
  </si>
  <si>
    <t xml:space="preserve">Country — useful for tax &amp; shipping.</t>
  </si>
  <si>
    <t xml:space="preserve">Who referred the buyer (track your best sources).</t>
  </si>
  <si>
    <t xml:space="preserve">Did they join your collector list? Yes/No.</t>
  </si>
  <si>
    <t xml:space="preserve">Have they bought before? Yes/No.</t>
  </si>
  <si>
    <t xml:space="preserve">Reminders — thank-you sent, anniversary, next piece.</t>
  </si>
  <si>
    <t xml:space="preserve">Has it been shown? Yes/No.</t>
  </si>
  <si>
    <t xml:space="preserve">Where &amp; when shown — venue, show name, year. Builds provenance.</t>
  </si>
  <si>
    <t xml:space="preserve">Any prizes / selections.</t>
  </si>
  <si>
    <t xml:space="preserve">Press, features, catalogue mentions.</t>
  </si>
  <si>
    <t xml:space="preserve">Ownership history — important for resale value.</t>
  </si>
  <si>
    <t xml:space="preserve">Who holds print/licensing rights.</t>
  </si>
  <si>
    <t xml:space="preserve">Where the physical work is right now.</t>
  </si>
  <si>
    <t xml:space="preserve">If on loan, to whom.</t>
  </si>
  <si>
    <t xml:space="preserve">When the loan is due back.</t>
  </si>
  <si>
    <t xml:space="preserve">Is it insured? Yes/No.</t>
  </si>
  <si>
    <t xml:space="preserve">Insured/replacement value.</t>
  </si>
  <si>
    <t xml:space="preserve">Current physical condition.</t>
  </si>
  <si>
    <t xml:space="preserve">Detail on any damage or restoration.</t>
  </si>
  <si>
    <t xml:space="preserve">Box/crate length for shipping quotes.</t>
  </si>
  <si>
    <t xml:space="preserve">Box/crate width.</t>
  </si>
  <si>
    <t xml:space="preserve">Box/crate depth.</t>
  </si>
  <si>
    <t xml:space="preserve">Weight once packed.</t>
  </si>
  <si>
    <t xml:space="preserve">Does it need a custom crate? Yes/No.</t>
  </si>
  <si>
    <t xml:space="preserve">Wired/ready to hang on arrival? Yes/No.</t>
  </si>
  <si>
    <t xml:space="preserve">What's fitted — D-rings, wire, cleat.</t>
  </si>
  <si>
    <t xml:space="preserve">How it ships.</t>
  </si>
  <si>
    <t xml:space="preserve">What shipping cost / was charged.</t>
  </si>
  <si>
    <t xml:space="preserve">Carrier tracking reference.</t>
  </si>
  <si>
    <t xml:space="preserve">Dispatch date.</t>
  </si>
  <si>
    <t xml:space="preserve">Confirmed delivered? Yes/No.</t>
  </si>
  <si>
    <t xml:space="preserve">Have you got good photos? Yes/No.</t>
  </si>
  <si>
    <t xml:space="preserve">File names / folder so you can find the images.</t>
  </si>
  <si>
    <t xml:space="preserve">How many photos exist.</t>
  </si>
  <si>
    <t xml:space="preserve">Interior mockups made? Yes/No.</t>
  </si>
  <si>
    <t xml:space="preserve">The web address ending, e.g. coastal-rhythm.</t>
  </si>
  <si>
    <t xml:space="preserve">Full link to the artwork's page.</t>
  </si>
  <si>
    <t xml:space="preserve">Is it live on the site? Yes/No.</t>
  </si>
  <si>
    <t xml:space="preserve">Page title for Google.</t>
  </si>
  <si>
    <t xml:space="preserve">Search snippet text.</t>
  </si>
  <si>
    <t xml:space="preserve">Describes the image for accessibility &amp; image SEO.</t>
  </si>
  <si>
    <t xml:space="preserve">Shared on social yet? Yes/No.</t>
  </si>
  <si>
    <t xml:space="preserve">Anything else.</t>
  </si>
  <si>
    <t xml:space="preserve">Date you last edited this row.</t>
  </si>
  <si>
    <t xml:space="preserve">Collection Summary</t>
  </si>
  <si>
    <t xml:space="preserve">Live totals — updates automatically as you fill in the Register.</t>
  </si>
  <si>
    <t xml:space="preserve">Metric</t>
  </si>
  <si>
    <t xml:space="preserve">Value</t>
  </si>
  <si>
    <t xml:space="preserve">Total artworks logged</t>
  </si>
  <si>
    <t xml:space="preserve">Reserved</t>
  </si>
  <si>
    <t xml:space="preserve">On Loan</t>
  </si>
  <si>
    <t xml:space="preserve">Not For Sale</t>
  </si>
  <si>
    <t xml:space="preserve">Total value of available works (List Price)</t>
  </si>
  <si>
    <t xml:space="preserve">Total sales (Sale Price)</t>
  </si>
  <si>
    <t xml:space="preserve">Total net to artist</t>
  </si>
  <si>
    <t xml:space="preserve">Total cost to produce (all)</t>
  </si>
  <si>
    <t xml:space="preserve">Total gross profit (sold)</t>
  </si>
  <si>
    <t xml:space="preserve">Average sale price</t>
  </si>
  <si>
    <t xml:space="preserve">DROPDOWN REFERENCE LISTS  —  edit these to change menu options in the Register</t>
  </si>
  <si>
    <t xml:space="preserve">EditionType</t>
  </si>
  <si>
    <t xml:space="preserve">YesNo</t>
  </si>
  <si>
    <t xml:space="preserve">BuyerType</t>
  </si>
  <si>
    <t xml:space="preserve">SoldThrough</t>
  </si>
  <si>
    <t xml:space="preserve">PaymentStatus</t>
  </si>
  <si>
    <t xml:space="preserve">PaymentMethod</t>
  </si>
  <si>
    <t xml:space="preserve">ShippingMethod</t>
  </si>
  <si>
    <t xml:space="preserve">Bank Transfer</t>
  </si>
  <si>
    <t xml:space="preserve">Courier</t>
  </si>
  <si>
    <t xml:space="preserve">Portrait</t>
  </si>
  <si>
    <t xml:space="preserve">Limited Edition Print</t>
  </si>
  <si>
    <t xml:space="preserve">Interior Designer</t>
  </si>
  <si>
    <t xml:space="preserve">Credit Card</t>
  </si>
  <si>
    <t xml:space="preserve">USD</t>
  </si>
  <si>
    <t xml:space="preserve">Very Good</t>
  </si>
  <si>
    <t xml:space="preserve">Art Freight / Specialist</t>
  </si>
  <si>
    <t xml:space="preserve">Square</t>
  </si>
  <si>
    <t xml:space="preserve">Open Edition Print</t>
  </si>
  <si>
    <t xml:space="preserve">Architect</t>
  </si>
  <si>
    <t xml:space="preserve">Art Fair</t>
  </si>
  <si>
    <t xml:space="preserve">Paid in Full</t>
  </si>
  <si>
    <t xml:space="preserve">PayPal</t>
  </si>
  <si>
    <t xml:space="preserve">GBP</t>
  </si>
  <si>
    <t xml:space="preserve">Good</t>
  </si>
  <si>
    <t xml:space="preserve">Australia Post</t>
  </si>
  <si>
    <t xml:space="preserve">On Hold</t>
  </si>
  <si>
    <t xml:space="preserve">Panoramic</t>
  </si>
  <si>
    <t xml:space="preserve">Diptych</t>
  </si>
  <si>
    <t xml:space="preserve">Property Developer</t>
  </si>
  <si>
    <t xml:space="preserve">Studio / Direct</t>
  </si>
  <si>
    <t xml:space="preserve">Payment Plan</t>
  </si>
  <si>
    <t xml:space="preserve">Cash</t>
  </si>
  <si>
    <t xml:space="preserve">EUR</t>
  </si>
  <si>
    <t xml:space="preserve">Minor Damage</t>
  </si>
  <si>
    <t xml:space="preserve">Hand Delivery</t>
  </si>
  <si>
    <t xml:space="preserve">Commission - In Progress</t>
  </si>
  <si>
    <t xml:space="preserve">Triptych</t>
  </si>
  <si>
    <t xml:space="preserve">Luxury Homeowner</t>
  </si>
  <si>
    <t xml:space="preserve">Instagram / Social</t>
  </si>
  <si>
    <t xml:space="preserve">Refunded</t>
  </si>
  <si>
    <t xml:space="preserve">Afterpay / Instalment</t>
  </si>
  <si>
    <t xml:space="preserve">NZD</t>
  </si>
  <si>
    <t xml:space="preserve">Needs Restoration</t>
  </si>
  <si>
    <t xml:space="preserve">Local Pickup</t>
  </si>
  <si>
    <t xml:space="preserve">Commission - Delivered</t>
  </si>
  <si>
    <t xml:space="preserve">Study</t>
  </si>
  <si>
    <t xml:space="preserve">Art Consultant</t>
  </si>
  <si>
    <t xml:space="preserve">Agent</t>
  </si>
  <si>
    <t xml:space="preserve">Art Money</t>
  </si>
  <si>
    <t xml:space="preserve">CAD</t>
  </si>
  <si>
    <t xml:space="preserve">Damaged</t>
  </si>
  <si>
    <t xml:space="preserve">International Freight</t>
  </si>
  <si>
    <t xml:space="preserve">Buyer's Agent</t>
  </si>
  <si>
    <t xml:space="preserve">Online Marketplace</t>
  </si>
  <si>
    <t xml:space="preserve">Other</t>
  </si>
  <si>
    <t xml:space="preserve">Corporate Buyer</t>
  </si>
  <si>
    <t xml:space="preserve">Commission</t>
  </si>
  <si>
    <t xml:space="preserve">Gifted</t>
  </si>
  <si>
    <t xml:space="preserve">Gallery / Curator</t>
  </si>
  <si>
    <t xml:space="preserve">Archived</t>
  </si>
  <si>
    <t xml:space="preserve">Donated</t>
  </si>
  <si>
    <t xml:space="preserve">Destroyed/Lost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</si>
</sst>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75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5B7B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E475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4756"/>
        <bgColor rgb="FF333399"/>
      </patternFill>
    </fill>
    <fill>
      <patternFill patternType="solid">
        <fgColor rgb="FF5B7B8C"/>
        <bgColor rgb="FF666666"/>
      </patternFill>
    </fill>
    <fill>
      <patternFill patternType="solid">
        <fgColor rgb="FFFFFFFF"/>
        <bgColor rgb="FFF4F7F8"/>
      </patternFill>
    </fill>
    <fill>
      <patternFill patternType="solid">
        <fgColor rgb="FFF4F7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D9"/>
      </left>
      <right style="thin">
        <color rgb="FFC9D4D9"/>
      </right>
      <top style="thin">
        <color rgb="FFC9D4D9"/>
      </top>
      <bottom style="thin">
        <color rgb="FFC9D4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7B8C"/>
      <rgbColor rgb="FF9999FF"/>
      <rgbColor rgb="FF993366"/>
      <rgbColor rgb="FFF4F7F8"/>
      <rgbColor rgb="FFCCFFFF"/>
      <rgbColor rgb="FF660066"/>
      <rgbColor rgb="FFFF8080"/>
      <rgbColor rgb="FF0066CC"/>
      <rgbColor rgb="FFC9D4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2E47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2" min="11" style="0" width="18"/>
    <col collapsed="false" customWidth="true" hidden="false" outlineLevel="0" max="13" min="13" style="0" width="20"/>
    <col collapsed="false" customWidth="true" hidden="false" outlineLevel="0" max="14" min="14" style="0" width="40"/>
    <col collapsed="false" customWidth="true" hidden="false" outlineLevel="0" max="15" min="15" style="0" width="45"/>
    <col collapsed="false" customWidth="true" hidden="false" outlineLevel="0" max="16" min="16" style="0" width="22"/>
    <col collapsed="false" customWidth="true" hidden="false" outlineLevel="0" max="18" min="17" style="0" width="20"/>
    <col collapsed="false" customWidth="true" hidden="false" outlineLevel="0" max="19" min="19" style="0" width="26"/>
    <col collapsed="false" customWidth="true" hidden="false" outlineLevel="0" max="20" min="20" style="0" width="14"/>
    <col collapsed="false" customWidth="true" hidden="false" outlineLevel="0" max="26" min="21" style="0" width="11"/>
    <col collapsed="false" customWidth="true" hidden="false" outlineLevel="0" max="27" min="27" style="0" width="10"/>
    <col collapsed="false" customWidth="true" hidden="false" outlineLevel="0" max="28" min="28" style="0" width="22"/>
    <col collapsed="false" customWidth="true" hidden="false" outlineLevel="0" max="31" min="29" style="0" width="14"/>
    <col collapsed="false" customWidth="true" hidden="false" outlineLevel="0" max="32" min="32" style="0" width="11"/>
    <col collapsed="false" customWidth="true" hidden="false" outlineLevel="0" max="33" min="33" style="0" width="16"/>
    <col collapsed="false" customWidth="true" hidden="false" outlineLevel="0" max="34" min="34" style="0" width="14"/>
    <col collapsed="false" customWidth="true" hidden="false" outlineLevel="0" max="35" min="35" style="0" width="12"/>
    <col collapsed="false" customWidth="true" hidden="false" outlineLevel="0" max="36" min="36" style="0" width="10"/>
    <col collapsed="false" customWidth="true" hidden="false" outlineLevel="0" max="37" min="37" style="0" width="18"/>
    <col collapsed="false" customWidth="true" hidden="false" outlineLevel="0" max="38" min="38" style="0" width="16"/>
    <col collapsed="false" customWidth="true" hidden="false" outlineLevel="0" max="40" min="39" style="0" width="14"/>
    <col collapsed="false" customWidth="true" hidden="false" outlineLevel="0" max="41" min="41" style="0" width="13"/>
    <col collapsed="false" customWidth="true" hidden="false" outlineLevel="0" max="42" min="42" style="0" width="15"/>
    <col collapsed="false" customWidth="true" hidden="false" outlineLevel="0" max="43" min="43" style="0" width="13"/>
    <col collapsed="false" customWidth="true" hidden="false" outlineLevel="0" max="44" min="44" style="0" width="18"/>
    <col collapsed="false" customWidth="true" hidden="false" outlineLevel="0" max="45" min="45" style="0" width="12"/>
    <col collapsed="false" customWidth="true" hidden="false" outlineLevel="0" max="46" min="46" style="0" width="10"/>
    <col collapsed="false" customWidth="true" hidden="false" outlineLevel="0" max="47" min="47" style="0" width="13"/>
    <col collapsed="false" customWidth="true" hidden="false" outlineLevel="0" max="48" min="48" style="0" width="14"/>
    <col collapsed="false" customWidth="true" hidden="false" outlineLevel="0" max="49" min="49" style="0" width="12"/>
    <col collapsed="false" customWidth="true" hidden="false" outlineLevel="0" max="50" min="50" style="0" width="13"/>
    <col collapsed="false" customWidth="true" hidden="false" outlineLevel="0" max="52" min="51" style="0" width="16"/>
    <col collapsed="false" customWidth="true" hidden="false" outlineLevel="0" max="53" min="53" style="0" width="14"/>
    <col collapsed="false" customWidth="true" hidden="false" outlineLevel="0" max="54" min="54" style="0" width="13"/>
    <col collapsed="false" customWidth="true" hidden="false" outlineLevel="0" max="55" min="55" style="0" width="12"/>
    <col collapsed="false" customWidth="true" hidden="false" outlineLevel="0" max="57" min="56" style="0" width="13"/>
    <col collapsed="false" customWidth="true" hidden="false" outlineLevel="0" max="58" min="58" style="0" width="16"/>
    <col collapsed="false" customWidth="true" hidden="false" outlineLevel="0" max="59" min="59" style="0" width="15"/>
    <col collapsed="false" customWidth="true" hidden="false" outlineLevel="0" max="60" min="60" style="0" width="13"/>
    <col collapsed="false" customWidth="true" hidden="false" outlineLevel="0" max="61" min="61" style="0" width="15"/>
    <col collapsed="false" customWidth="true" hidden="false" outlineLevel="0" max="62" min="62" style="0" width="16"/>
    <col collapsed="false" customWidth="true" hidden="false" outlineLevel="0" max="63" min="63" style="0" width="22"/>
    <col collapsed="false" customWidth="true" hidden="false" outlineLevel="0" max="64" min="64" style="0" width="18"/>
    <col collapsed="false" customWidth="true" hidden="false" outlineLevel="0" max="65" min="65" style="0" width="24"/>
    <col collapsed="false" customWidth="true" hidden="false" outlineLevel="0" max="66" min="66" style="0" width="16"/>
    <col collapsed="false" customWidth="true" hidden="false" outlineLevel="0" max="67" min="67" style="0" width="26"/>
    <col collapsed="false" customWidth="true" hidden="false" outlineLevel="0" max="68" min="68" style="0" width="16"/>
    <col collapsed="false" customWidth="true" hidden="false" outlineLevel="0" max="69" min="69" style="0" width="18"/>
    <col collapsed="false" customWidth="true" hidden="false" outlineLevel="0" max="70" min="70" style="0" width="16"/>
    <col collapsed="false" customWidth="true" hidden="false" outlineLevel="0" max="71" min="71" style="0" width="14"/>
    <col collapsed="false" customWidth="true" hidden="false" outlineLevel="0" max="72" min="72" style="0" width="30"/>
    <col collapsed="false" customWidth="true" hidden="false" outlineLevel="0" max="73" min="73" style="0" width="11"/>
    <col collapsed="false" customWidth="true" hidden="false" outlineLevel="0" max="74" min="74" style="0" width="35"/>
    <col collapsed="false" customWidth="true" hidden="false" outlineLevel="0" max="75" min="75" style="0" width="26"/>
    <col collapsed="false" customWidth="true" hidden="false" outlineLevel="0" max="76" min="76" style="0" width="28"/>
    <col collapsed="false" customWidth="true" hidden="false" outlineLevel="0" max="77" min="77" style="0" width="30"/>
    <col collapsed="false" customWidth="true" hidden="false" outlineLevel="0" max="78" min="78" style="0" width="24"/>
    <col collapsed="false" customWidth="true" hidden="false" outlineLevel="0" max="79" min="79" style="0" width="22"/>
    <col collapsed="false" customWidth="true" hidden="false" outlineLevel="0" max="80" min="80" style="0" width="20"/>
    <col collapsed="false" customWidth="true" hidden="false" outlineLevel="0" max="81" min="81" style="0" width="14"/>
    <col collapsed="false" customWidth="true" hidden="false" outlineLevel="0" max="82" min="82" style="0" width="10"/>
    <col collapsed="false" customWidth="true" hidden="false" outlineLevel="0" max="83" min="83" style="0" width="15"/>
    <col collapsed="false" customWidth="true" hidden="false" outlineLevel="0" max="84" min="84" style="0" width="16"/>
    <col collapsed="false" customWidth="true" hidden="false" outlineLevel="0" max="85" min="85" style="0" width="30"/>
    <col collapsed="false" customWidth="true" hidden="false" outlineLevel="0" max="89" min="86" style="0" width="16"/>
    <col collapsed="false" customWidth="true" hidden="false" outlineLevel="0" max="90" min="90" style="0" width="14"/>
    <col collapsed="false" customWidth="true" hidden="false" outlineLevel="0" max="91" min="91" style="0" width="13"/>
    <col collapsed="false" customWidth="true" hidden="false" outlineLevel="0" max="93" min="92" style="0" width="18"/>
    <col collapsed="false" customWidth="true" hidden="false" outlineLevel="0" max="94" min="94" style="0" width="14"/>
    <col collapsed="false" customWidth="true" hidden="false" outlineLevel="0" max="95" min="95" style="0" width="18"/>
    <col collapsed="false" customWidth="true" hidden="false" outlineLevel="0" max="96" min="96" style="0" width="13"/>
    <col collapsed="false" customWidth="true" hidden="false" outlineLevel="0" max="97" min="97" style="0" width="15"/>
    <col collapsed="false" customWidth="true" hidden="false" outlineLevel="0" max="98" min="98" style="0" width="13"/>
    <col collapsed="false" customWidth="true" hidden="false" outlineLevel="0" max="99" min="99" style="0" width="26"/>
    <col collapsed="false" customWidth="true" hidden="false" outlineLevel="0" max="101" min="100" style="0" width="14"/>
    <col collapsed="false" customWidth="true" hidden="false" outlineLevel="0" max="102" min="102" style="0" width="22"/>
    <col collapsed="false" customWidth="true" hidden="false" outlineLevel="0" max="103" min="103" style="0" width="30"/>
    <col collapsed="false" customWidth="true" hidden="false" outlineLevel="0" max="104" min="104" style="0" width="13"/>
    <col collapsed="false" customWidth="true" hidden="false" outlineLevel="0" max="105" min="105" style="0" width="30"/>
    <col collapsed="false" customWidth="true" hidden="false" outlineLevel="0" max="106" min="106" style="0" width="40"/>
    <col collapsed="false" customWidth="true" hidden="false" outlineLevel="0" max="107" min="107" style="0" width="30"/>
    <col collapsed="false" customWidth="true" hidden="false" outlineLevel="0" max="108" min="108" style="0" width="13"/>
    <col collapsed="false" customWidth="true" hidden="false" outlineLevel="0" max="109" min="109" style="0" width="40"/>
    <col collapsed="false" customWidth="true" hidden="false" outlineLevel="0" max="110" min="110" style="0" width="14"/>
  </cols>
  <sheetData>
    <row r="1" customFormat="false" ht="19.5" hidden="false" customHeight="true" outlineLevel="0" collapsed="false">
      <c r="A1" s="4" t="s">
        <v>16</v>
      </c>
      <c r="B1" s="4"/>
      <c r="C1" s="4"/>
      <c r="D1" s="4"/>
      <c r="E1" s="4"/>
      <c r="F1" s="4"/>
      <c r="G1" s="4"/>
      <c r="H1" s="4"/>
      <c r="I1" s="5" t="s">
        <v>17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4" t="s">
        <v>18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 t="s">
        <v>19</v>
      </c>
      <c r="AO1" s="5"/>
      <c r="AP1" s="5"/>
      <c r="AQ1" s="5"/>
      <c r="AR1" s="5"/>
      <c r="AS1" s="5"/>
      <c r="AT1" s="4" t="s">
        <v>20</v>
      </c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5" t="s">
        <v>21</v>
      </c>
      <c r="BL1" s="5"/>
      <c r="BM1" s="5"/>
      <c r="BN1" s="5"/>
      <c r="BO1" s="5"/>
      <c r="BP1" s="5"/>
      <c r="BQ1" s="5"/>
      <c r="BR1" s="5"/>
      <c r="BS1" s="5"/>
      <c r="BT1" s="5"/>
      <c r="BU1" s="4" t="s">
        <v>22</v>
      </c>
      <c r="BV1" s="4"/>
      <c r="BW1" s="4"/>
      <c r="BX1" s="4"/>
      <c r="BY1" s="4"/>
      <c r="BZ1" s="4"/>
      <c r="CA1" s="5" t="s">
        <v>23</v>
      </c>
      <c r="CB1" s="5"/>
      <c r="CC1" s="5"/>
      <c r="CD1" s="5"/>
      <c r="CE1" s="5"/>
      <c r="CF1" s="5"/>
      <c r="CG1" s="5"/>
      <c r="CH1" s="4" t="s">
        <v>24</v>
      </c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5" t="s">
        <v>25</v>
      </c>
      <c r="CU1" s="5"/>
      <c r="CV1" s="5"/>
      <c r="CW1" s="5"/>
      <c r="CX1" s="5"/>
      <c r="CY1" s="5"/>
      <c r="CZ1" s="5"/>
      <c r="DA1" s="5"/>
      <c r="DB1" s="5"/>
      <c r="DC1" s="5"/>
      <c r="DD1" s="5"/>
      <c r="DE1" s="4" t="s">
        <v>26</v>
      </c>
      <c r="DF1" s="4"/>
    </row>
    <row r="2" customFormat="false" ht="42" hidden="false" customHeight="tru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  <c r="S2" s="6" t="s">
        <v>45</v>
      </c>
      <c r="T2" s="6" t="s">
        <v>46</v>
      </c>
      <c r="U2" s="6" t="s">
        <v>47</v>
      </c>
      <c r="V2" s="6" t="s">
        <v>48</v>
      </c>
      <c r="W2" s="6" t="s">
        <v>49</v>
      </c>
      <c r="X2" s="6" t="s">
        <v>50</v>
      </c>
      <c r="Y2" s="6" t="s">
        <v>51</v>
      </c>
      <c r="Z2" s="6" t="s">
        <v>52</v>
      </c>
      <c r="AA2" s="6" t="s">
        <v>53</v>
      </c>
      <c r="AB2" s="6" t="s">
        <v>54</v>
      </c>
      <c r="AC2" s="6" t="s">
        <v>55</v>
      </c>
      <c r="AD2" s="6" t="s">
        <v>56</v>
      </c>
      <c r="AE2" s="6" t="s">
        <v>57</v>
      </c>
      <c r="AF2" s="6" t="s">
        <v>58</v>
      </c>
      <c r="AG2" s="6" t="s">
        <v>59</v>
      </c>
      <c r="AH2" s="6" t="s">
        <v>60</v>
      </c>
      <c r="AI2" s="6" t="s">
        <v>61</v>
      </c>
      <c r="AJ2" s="6" t="s">
        <v>62</v>
      </c>
      <c r="AK2" s="6" t="s">
        <v>63</v>
      </c>
      <c r="AL2" s="6" t="s">
        <v>64</v>
      </c>
      <c r="AM2" s="6" t="s">
        <v>65</v>
      </c>
      <c r="AN2" s="6" t="s">
        <v>66</v>
      </c>
      <c r="AO2" s="6" t="s">
        <v>67</v>
      </c>
      <c r="AP2" s="6" t="s">
        <v>68</v>
      </c>
      <c r="AQ2" s="6" t="s">
        <v>69</v>
      </c>
      <c r="AR2" s="6" t="s">
        <v>70</v>
      </c>
      <c r="AS2" s="6" t="s">
        <v>71</v>
      </c>
      <c r="AT2" s="6" t="s">
        <v>72</v>
      </c>
      <c r="AU2" s="6" t="s">
        <v>73</v>
      </c>
      <c r="AV2" s="6" t="s">
        <v>74</v>
      </c>
      <c r="AW2" s="6" t="s">
        <v>75</v>
      </c>
      <c r="AX2" s="6" t="s">
        <v>76</v>
      </c>
      <c r="AY2" s="6" t="s">
        <v>77</v>
      </c>
      <c r="AZ2" s="6" t="s">
        <v>78</v>
      </c>
      <c r="BA2" s="6" t="s">
        <v>79</v>
      </c>
      <c r="BB2" s="6" t="s">
        <v>80</v>
      </c>
      <c r="BC2" s="6" t="s">
        <v>81</v>
      </c>
      <c r="BD2" s="6" t="s">
        <v>82</v>
      </c>
      <c r="BE2" s="6" t="s">
        <v>83</v>
      </c>
      <c r="BF2" s="6" t="s">
        <v>84</v>
      </c>
      <c r="BG2" s="6" t="s">
        <v>85</v>
      </c>
      <c r="BH2" s="6" t="s">
        <v>86</v>
      </c>
      <c r="BI2" s="6" t="s">
        <v>87</v>
      </c>
      <c r="BJ2" s="6" t="s">
        <v>88</v>
      </c>
      <c r="BK2" s="6" t="s">
        <v>89</v>
      </c>
      <c r="BL2" s="6" t="s">
        <v>90</v>
      </c>
      <c r="BM2" s="6" t="s">
        <v>91</v>
      </c>
      <c r="BN2" s="6" t="s">
        <v>92</v>
      </c>
      <c r="BO2" s="6" t="s">
        <v>93</v>
      </c>
      <c r="BP2" s="6" t="s">
        <v>94</v>
      </c>
      <c r="BQ2" s="6" t="s">
        <v>95</v>
      </c>
      <c r="BR2" s="6" t="s">
        <v>96</v>
      </c>
      <c r="BS2" s="6" t="s">
        <v>97</v>
      </c>
      <c r="BT2" s="6" t="s">
        <v>98</v>
      </c>
      <c r="BU2" s="6" t="s">
        <v>99</v>
      </c>
      <c r="BV2" s="6" t="s">
        <v>100</v>
      </c>
      <c r="BW2" s="6" t="s">
        <v>101</v>
      </c>
      <c r="BX2" s="6" t="s">
        <v>102</v>
      </c>
      <c r="BY2" s="6" t="s">
        <v>103</v>
      </c>
      <c r="BZ2" s="6" t="s">
        <v>104</v>
      </c>
      <c r="CA2" s="6" t="s">
        <v>105</v>
      </c>
      <c r="CB2" s="6" t="s">
        <v>106</v>
      </c>
      <c r="CC2" s="6" t="s">
        <v>107</v>
      </c>
      <c r="CD2" s="6" t="s">
        <v>108</v>
      </c>
      <c r="CE2" s="6" t="s">
        <v>109</v>
      </c>
      <c r="CF2" s="6" t="s">
        <v>110</v>
      </c>
      <c r="CG2" s="6" t="s">
        <v>111</v>
      </c>
      <c r="CH2" s="6" t="s">
        <v>112</v>
      </c>
      <c r="CI2" s="6" t="s">
        <v>113</v>
      </c>
      <c r="CJ2" s="6" t="s">
        <v>114</v>
      </c>
      <c r="CK2" s="6" t="s">
        <v>115</v>
      </c>
      <c r="CL2" s="6" t="s">
        <v>116</v>
      </c>
      <c r="CM2" s="6" t="s">
        <v>117</v>
      </c>
      <c r="CN2" s="6" t="s">
        <v>118</v>
      </c>
      <c r="CO2" s="6" t="s">
        <v>119</v>
      </c>
      <c r="CP2" s="6" t="s">
        <v>120</v>
      </c>
      <c r="CQ2" s="6" t="s">
        <v>121</v>
      </c>
      <c r="CR2" s="6" t="s">
        <v>122</v>
      </c>
      <c r="CS2" s="6" t="s">
        <v>123</v>
      </c>
      <c r="CT2" s="6" t="s">
        <v>124</v>
      </c>
      <c r="CU2" s="6" t="s">
        <v>125</v>
      </c>
      <c r="CV2" s="6" t="s">
        <v>126</v>
      </c>
      <c r="CW2" s="6" t="s">
        <v>127</v>
      </c>
      <c r="CX2" s="6" t="s">
        <v>128</v>
      </c>
      <c r="CY2" s="6" t="s">
        <v>129</v>
      </c>
      <c r="CZ2" s="6" t="s">
        <v>130</v>
      </c>
      <c r="DA2" s="6" t="s">
        <v>131</v>
      </c>
      <c r="DB2" s="6" t="s">
        <v>132</v>
      </c>
      <c r="DC2" s="6" t="s">
        <v>133</v>
      </c>
      <c r="DD2" s="6" t="s">
        <v>134</v>
      </c>
      <c r="DE2" s="6" t="s">
        <v>135</v>
      </c>
      <c r="DF2" s="6" t="s">
        <v>136</v>
      </c>
    </row>
    <row r="3" customFormat="false" ht="15" hidden="false" customHeight="false" outlineLevel="0" collapsed="false">
      <c r="A3" s="7" t="s">
        <v>137</v>
      </c>
      <c r="B3" s="7" t="s">
        <v>138</v>
      </c>
      <c r="C3" s="7"/>
      <c r="D3" s="7" t="s">
        <v>139</v>
      </c>
      <c r="E3" s="7" t="n">
        <v>2025</v>
      </c>
      <c r="F3" s="7"/>
      <c r="G3" s="7" t="s">
        <v>140</v>
      </c>
      <c r="H3" s="7" t="s">
        <v>141</v>
      </c>
      <c r="I3" s="7" t="s">
        <v>142</v>
      </c>
      <c r="J3" s="7" t="s">
        <v>143</v>
      </c>
      <c r="K3" s="7"/>
      <c r="L3" s="7" t="s">
        <v>144</v>
      </c>
      <c r="M3" s="7" t="s">
        <v>145</v>
      </c>
      <c r="N3" s="7" t="s">
        <v>146</v>
      </c>
      <c r="O3" s="7" t="s">
        <v>147</v>
      </c>
      <c r="P3" s="7"/>
      <c r="Q3" s="7" t="s">
        <v>148</v>
      </c>
      <c r="R3" s="7"/>
      <c r="S3" s="7" t="s">
        <v>149</v>
      </c>
      <c r="T3" s="7" t="s">
        <v>150</v>
      </c>
      <c r="U3" s="7" t="n">
        <v>120</v>
      </c>
      <c r="V3" s="7" t="n">
        <v>150</v>
      </c>
      <c r="W3" s="7" t="n">
        <v>4</v>
      </c>
      <c r="X3" s="7" t="n">
        <f aca="false">IF(U3="","",ROUND(U3/2.54,1))</f>
        <v>47.2</v>
      </c>
      <c r="Y3" s="7" t="n">
        <f aca="false">IF(V3="","",ROUND(V3/2.54,1))</f>
        <v>59.1</v>
      </c>
      <c r="Z3" s="7" t="n">
        <f aca="false">IF(W3="","",ROUND(W3/2.54,1))</f>
        <v>1.6</v>
      </c>
      <c r="AA3" s="7" t="s">
        <v>151</v>
      </c>
      <c r="AB3" s="7"/>
      <c r="AC3" s="7"/>
      <c r="AD3" s="7"/>
      <c r="AE3" s="7"/>
      <c r="AF3" s="7" t="n">
        <v>6.5</v>
      </c>
      <c r="AG3" s="7" t="s">
        <v>152</v>
      </c>
      <c r="AH3" s="7"/>
      <c r="AI3" s="7"/>
      <c r="AJ3" s="7" t="s">
        <v>153</v>
      </c>
      <c r="AK3" s="7" t="s">
        <v>154</v>
      </c>
      <c r="AL3" s="7" t="s">
        <v>153</v>
      </c>
      <c r="AM3" s="7" t="s">
        <v>155</v>
      </c>
      <c r="AN3" s="8" t="n">
        <v>280</v>
      </c>
      <c r="AO3" s="8" t="n">
        <v>0</v>
      </c>
      <c r="AP3" s="8"/>
      <c r="AQ3" s="8"/>
      <c r="AR3" s="8" t="n">
        <f aca="false">IF(COUNT(AN3,AO3,AP3,AQ3)=0,"",SUM(AN3:AQ3))</f>
        <v>280</v>
      </c>
      <c r="AS3" s="7" t="n">
        <v>40</v>
      </c>
      <c r="AT3" s="7" t="s">
        <v>156</v>
      </c>
      <c r="AU3" s="8" t="n">
        <v>4800</v>
      </c>
      <c r="AV3" s="8" t="n">
        <f aca="false">IF(OR(AU3="",U3="",V3=""),"",AU3/(U3*V3))</f>
        <v>0.266666666666667</v>
      </c>
      <c r="AW3" s="9"/>
      <c r="AX3" s="8"/>
      <c r="AY3" s="9"/>
      <c r="AZ3" s="8" t="str">
        <f aca="false">IF(OR(AX3="",AY3=""),"",AX3*AY3)</f>
        <v/>
      </c>
      <c r="BA3" s="8" t="str">
        <f aca="false">IF(AX3="","",AX3-N(AZ3)-N(BC3))</f>
        <v/>
      </c>
      <c r="BB3" s="8" t="str">
        <f aca="false">IF(AX3="","",BA3-N(AR3))</f>
        <v/>
      </c>
      <c r="BC3" s="8"/>
      <c r="BD3" s="8"/>
      <c r="BE3" s="8" t="str">
        <f aca="false">IF(AX3="","",AX3-N(BD3))</f>
        <v/>
      </c>
      <c r="BF3" s="7"/>
      <c r="BG3" s="7" t="s">
        <v>157</v>
      </c>
      <c r="BH3" s="7"/>
      <c r="BI3" s="7"/>
      <c r="BJ3" s="7" t="s">
        <v>158</v>
      </c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 t="s">
        <v>159</v>
      </c>
      <c r="CB3" s="7"/>
      <c r="CC3" s="7"/>
      <c r="CD3" s="7" t="s">
        <v>153</v>
      </c>
      <c r="CE3" s="8" t="n">
        <v>4800</v>
      </c>
      <c r="CF3" s="7" t="s">
        <v>160</v>
      </c>
      <c r="CG3" s="7"/>
      <c r="CH3" s="7"/>
      <c r="CI3" s="7"/>
      <c r="CJ3" s="7"/>
      <c r="CK3" s="7"/>
      <c r="CL3" s="7"/>
      <c r="CM3" s="7" t="s">
        <v>153</v>
      </c>
      <c r="CN3" s="7"/>
      <c r="CO3" s="7"/>
      <c r="CP3" s="8"/>
      <c r="CQ3" s="7"/>
      <c r="CR3" s="7"/>
      <c r="CS3" s="7"/>
      <c r="CT3" s="7" t="s">
        <v>153</v>
      </c>
      <c r="CU3" s="7"/>
      <c r="CV3" s="7"/>
      <c r="CW3" s="7"/>
      <c r="CX3" s="7" t="s">
        <v>161</v>
      </c>
      <c r="CY3" s="7" t="s">
        <v>162</v>
      </c>
      <c r="CZ3" s="7" t="s">
        <v>153</v>
      </c>
      <c r="DA3" s="7" t="s">
        <v>163</v>
      </c>
      <c r="DB3" s="7"/>
      <c r="DC3" s="7"/>
      <c r="DD3" s="7"/>
      <c r="DE3" s="7"/>
      <c r="DF3" s="7" t="s">
        <v>164</v>
      </c>
    </row>
    <row r="4" customFormat="false" ht="15" hidden="false" customHeight="false" outlineLevel="0" collapsed="false">
      <c r="A4" s="10" t="s">
        <v>165</v>
      </c>
      <c r="B4" s="10" t="s">
        <v>166</v>
      </c>
      <c r="C4" s="10"/>
      <c r="D4" s="10" t="s">
        <v>139</v>
      </c>
      <c r="E4" s="10" t="n">
        <v>2024</v>
      </c>
      <c r="F4" s="10"/>
      <c r="G4" s="10" t="s">
        <v>167</v>
      </c>
      <c r="H4" s="10" t="s">
        <v>168</v>
      </c>
      <c r="I4" s="10" t="s">
        <v>169</v>
      </c>
      <c r="J4" s="10" t="s">
        <v>170</v>
      </c>
      <c r="K4" s="10"/>
      <c r="L4" s="10" t="s">
        <v>144</v>
      </c>
      <c r="M4" s="10" t="s">
        <v>171</v>
      </c>
      <c r="N4" s="10" t="s">
        <v>172</v>
      </c>
      <c r="O4" s="10"/>
      <c r="P4" s="10"/>
      <c r="Q4" s="10" t="s">
        <v>173</v>
      </c>
      <c r="R4" s="10"/>
      <c r="S4" s="10"/>
      <c r="T4" s="10" t="s">
        <v>150</v>
      </c>
      <c r="U4" s="10" t="n">
        <v>100</v>
      </c>
      <c r="V4" s="10" t="n">
        <v>100</v>
      </c>
      <c r="W4" s="10" t="n">
        <v>4</v>
      </c>
      <c r="X4" s="10" t="n">
        <f aca="false">IF(U4="","",ROUND(U4/2.54,1))</f>
        <v>39.4</v>
      </c>
      <c r="Y4" s="10" t="n">
        <f aca="false">IF(V4="","",ROUND(V4/2.54,1))</f>
        <v>39.4</v>
      </c>
      <c r="Z4" s="10" t="n">
        <f aca="false">IF(W4="","",ROUND(W4/2.54,1))</f>
        <v>1.6</v>
      </c>
      <c r="AA4" s="10" t="s">
        <v>153</v>
      </c>
      <c r="AB4" s="10" t="s">
        <v>174</v>
      </c>
      <c r="AC4" s="10"/>
      <c r="AD4" s="10"/>
      <c r="AE4" s="10"/>
      <c r="AF4" s="10" t="n">
        <v>7</v>
      </c>
      <c r="AG4" s="10" t="s">
        <v>152</v>
      </c>
      <c r="AH4" s="10"/>
      <c r="AI4" s="10"/>
      <c r="AJ4" s="10" t="s">
        <v>153</v>
      </c>
      <c r="AK4" s="10"/>
      <c r="AL4" s="10"/>
      <c r="AM4" s="10"/>
      <c r="AN4" s="11" t="n">
        <v>320</v>
      </c>
      <c r="AO4" s="11" t="n">
        <v>250</v>
      </c>
      <c r="AP4" s="11"/>
      <c r="AQ4" s="11"/>
      <c r="AR4" s="11" t="n">
        <f aca="false">IF(COUNT(AN4,AO4,AP4,AQ4)=0,"",SUM(AN4:AQ4))</f>
        <v>570</v>
      </c>
      <c r="AS4" s="10"/>
      <c r="AT4" s="10" t="s">
        <v>156</v>
      </c>
      <c r="AU4" s="11" t="n">
        <v>5200</v>
      </c>
      <c r="AV4" s="11" t="n">
        <f aca="false">IF(OR(AU4="",U4="",V4=""),"",AU4/(U4*V4))</f>
        <v>0.52</v>
      </c>
      <c r="AW4" s="12"/>
      <c r="AX4" s="11" t="n">
        <v>5200</v>
      </c>
      <c r="AY4" s="12" t="n">
        <v>0.3</v>
      </c>
      <c r="AZ4" s="11" t="n">
        <f aca="false">IF(OR(AX4="",AY4=""),"",AX4*AY4)</f>
        <v>1560</v>
      </c>
      <c r="BA4" s="11" t="n">
        <f aca="false">IF(AX4="","",AX4-N(AZ4)-N(BC4))</f>
        <v>3640</v>
      </c>
      <c r="BB4" s="11" t="n">
        <f aca="false">IF(AX4="","",BA4-N(AR4))</f>
        <v>3070</v>
      </c>
      <c r="BC4" s="11"/>
      <c r="BD4" s="11"/>
      <c r="BE4" s="11" t="n">
        <f aca="false">IF(AX4="","",AX4-N(BD4))</f>
        <v>5200</v>
      </c>
      <c r="BF4" s="10"/>
      <c r="BG4" s="10" t="s">
        <v>175</v>
      </c>
      <c r="BH4" s="10" t="s">
        <v>176</v>
      </c>
      <c r="BI4" s="10" t="s">
        <v>177</v>
      </c>
      <c r="BJ4" s="10" t="s">
        <v>178</v>
      </c>
      <c r="BK4" s="10" t="s">
        <v>179</v>
      </c>
      <c r="BL4" s="10" t="s">
        <v>180</v>
      </c>
      <c r="BM4" s="10"/>
      <c r="BN4" s="10"/>
      <c r="BO4" s="10"/>
      <c r="BP4" s="10" t="s">
        <v>181</v>
      </c>
      <c r="BQ4" s="10"/>
      <c r="BR4" s="10" t="s">
        <v>153</v>
      </c>
      <c r="BS4" s="10"/>
      <c r="BT4" s="10"/>
      <c r="BU4" s="10" t="s">
        <v>153</v>
      </c>
      <c r="BV4" s="10" t="s">
        <v>182</v>
      </c>
      <c r="BW4" s="10"/>
      <c r="BX4" s="10"/>
      <c r="BY4" s="10"/>
      <c r="BZ4" s="10"/>
      <c r="CA4" s="10" t="s">
        <v>183</v>
      </c>
      <c r="CB4" s="10"/>
      <c r="CC4" s="10"/>
      <c r="CD4" s="10"/>
      <c r="CE4" s="11"/>
      <c r="CF4" s="10" t="s">
        <v>160</v>
      </c>
      <c r="CG4" s="10"/>
      <c r="CH4" s="10"/>
      <c r="CI4" s="10"/>
      <c r="CJ4" s="10"/>
      <c r="CK4" s="10"/>
      <c r="CL4" s="10"/>
      <c r="CM4" s="10"/>
      <c r="CN4" s="10"/>
      <c r="CO4" s="10"/>
      <c r="CP4" s="11"/>
      <c r="CQ4" s="10"/>
      <c r="CR4" s="10"/>
      <c r="CS4" s="10"/>
      <c r="CT4" s="10" t="s">
        <v>153</v>
      </c>
      <c r="CU4" s="10"/>
      <c r="CV4" s="10"/>
      <c r="CW4" s="10"/>
      <c r="CX4" s="10" t="s">
        <v>184</v>
      </c>
      <c r="CY4" s="10"/>
      <c r="CZ4" s="10" t="s">
        <v>151</v>
      </c>
      <c r="DA4" s="10"/>
      <c r="DB4" s="10"/>
      <c r="DC4" s="10"/>
      <c r="DD4" s="10"/>
      <c r="DE4" s="10"/>
      <c r="DF4" s="10" t="s">
        <v>164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 t="str">
        <f aca="false">IF(U5="","",ROUND(U5/2.54,1))</f>
        <v/>
      </c>
      <c r="Y5" s="7" t="str">
        <f aca="false">IF(V5="","",ROUND(V5/2.54,1))</f>
        <v/>
      </c>
      <c r="Z5" s="7" t="str">
        <f aca="false">IF(W5="","",ROUND(W5/2.54,1))</f>
        <v/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8"/>
      <c r="AO5" s="8"/>
      <c r="AP5" s="8"/>
      <c r="AQ5" s="8"/>
      <c r="AR5" s="8" t="str">
        <f aca="false">IF(COUNT(AN5,AO5,AP5,AQ5)=0,"",SUM(AN5:AQ5))</f>
        <v/>
      </c>
      <c r="AS5" s="7"/>
      <c r="AT5" s="7"/>
      <c r="AU5" s="8"/>
      <c r="AV5" s="8" t="str">
        <f aca="false">IF(OR(AU5="",U5="",V5=""),"",AU5/(U5*V5))</f>
        <v/>
      </c>
      <c r="AW5" s="9"/>
      <c r="AX5" s="8"/>
      <c r="AY5" s="9"/>
      <c r="AZ5" s="8" t="str">
        <f aca="false">IF(OR(AX5="",AY5=""),"",AX5*AY5)</f>
        <v/>
      </c>
      <c r="BA5" s="8" t="str">
        <f aca="false">IF(AX5="","",AX5-N(AZ5)-N(BC5))</f>
        <v/>
      </c>
      <c r="BB5" s="8" t="str">
        <f aca="false">IF(AX5="","",BA5-N(AR5))</f>
        <v/>
      </c>
      <c r="BC5" s="8"/>
      <c r="BD5" s="8"/>
      <c r="BE5" s="8" t="str">
        <f aca="false">IF(AX5="","",AX5-N(BD5))</f>
        <v/>
      </c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8"/>
      <c r="CF5" s="7"/>
      <c r="CG5" s="7"/>
      <c r="CH5" s="7"/>
      <c r="CI5" s="7"/>
      <c r="CJ5" s="7"/>
      <c r="CK5" s="7"/>
      <c r="CL5" s="7"/>
      <c r="CM5" s="7"/>
      <c r="CN5" s="7"/>
      <c r="CO5" s="7"/>
      <c r="CP5" s="8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 t="str">
        <f aca="false">IF(U6="","",ROUND(U6/2.54,1))</f>
        <v/>
      </c>
      <c r="Y6" s="10" t="str">
        <f aca="false">IF(V6="","",ROUND(V6/2.54,1))</f>
        <v/>
      </c>
      <c r="Z6" s="10" t="str">
        <f aca="false">IF(W6="","",ROUND(W6/2.54,1))</f>
        <v/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1"/>
      <c r="AO6" s="11"/>
      <c r="AP6" s="11"/>
      <c r="AQ6" s="11"/>
      <c r="AR6" s="11" t="str">
        <f aca="false">IF(COUNT(AN6,AO6,AP6,AQ6)=0,"",SUM(AN6:AQ6))</f>
        <v/>
      </c>
      <c r="AS6" s="10"/>
      <c r="AT6" s="10"/>
      <c r="AU6" s="11"/>
      <c r="AV6" s="11" t="str">
        <f aca="false">IF(OR(AU6="",U6="",V6=""),"",AU6/(U6*V6))</f>
        <v/>
      </c>
      <c r="AW6" s="12"/>
      <c r="AX6" s="11"/>
      <c r="AY6" s="12"/>
      <c r="AZ6" s="11" t="str">
        <f aca="false">IF(OR(AX6="",AY6=""),"",AX6*AY6)</f>
        <v/>
      </c>
      <c r="BA6" s="11" t="str">
        <f aca="false">IF(AX6="","",AX6-N(AZ6)-N(BC6))</f>
        <v/>
      </c>
      <c r="BB6" s="11" t="str">
        <f aca="false">IF(AX6="","",BA6-N(AR6))</f>
        <v/>
      </c>
      <c r="BC6" s="11"/>
      <c r="BD6" s="11"/>
      <c r="BE6" s="11" t="str">
        <f aca="false">IF(AX6="","",AX6-N(BD6))</f>
        <v/>
      </c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1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1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 t="str">
        <f aca="false">IF(U7="","",ROUND(U7/2.54,1))</f>
        <v/>
      </c>
      <c r="Y7" s="7" t="str">
        <f aca="false">IF(V7="","",ROUND(V7/2.54,1))</f>
        <v/>
      </c>
      <c r="Z7" s="7" t="str">
        <f aca="false">IF(W7="","",ROUND(W7/2.54,1))</f>
        <v/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8"/>
      <c r="AO7" s="8"/>
      <c r="AP7" s="8"/>
      <c r="AQ7" s="8"/>
      <c r="AR7" s="8" t="str">
        <f aca="false">IF(COUNT(AN7,AO7,AP7,AQ7)=0,"",SUM(AN7:AQ7))</f>
        <v/>
      </c>
      <c r="AS7" s="7"/>
      <c r="AT7" s="7"/>
      <c r="AU7" s="8"/>
      <c r="AV7" s="8" t="str">
        <f aca="false">IF(OR(AU7="",U7="",V7=""),"",AU7/(U7*V7))</f>
        <v/>
      </c>
      <c r="AW7" s="9"/>
      <c r="AX7" s="8"/>
      <c r="AY7" s="9"/>
      <c r="AZ7" s="8" t="str">
        <f aca="false">IF(OR(AX7="",AY7=""),"",AX7*AY7)</f>
        <v/>
      </c>
      <c r="BA7" s="8" t="str">
        <f aca="false">IF(AX7="","",AX7-N(AZ7)-N(BC7))</f>
        <v/>
      </c>
      <c r="BB7" s="8" t="str">
        <f aca="false">IF(AX7="","",BA7-N(AR7))</f>
        <v/>
      </c>
      <c r="BC7" s="8"/>
      <c r="BD7" s="8"/>
      <c r="BE7" s="8" t="str">
        <f aca="false">IF(AX7="","",AX7-N(BD7))</f>
        <v/>
      </c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8"/>
      <c r="CF7" s="7"/>
      <c r="CG7" s="7"/>
      <c r="CH7" s="7"/>
      <c r="CI7" s="7"/>
      <c r="CJ7" s="7"/>
      <c r="CK7" s="7"/>
      <c r="CL7" s="7"/>
      <c r="CM7" s="7"/>
      <c r="CN7" s="7"/>
      <c r="CO7" s="7"/>
      <c r="CP7" s="8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 t="str">
        <f aca="false">IF(U8="","",ROUND(U8/2.54,1))</f>
        <v/>
      </c>
      <c r="Y8" s="10" t="str">
        <f aca="false">IF(V8="","",ROUND(V8/2.54,1))</f>
        <v/>
      </c>
      <c r="Z8" s="10" t="str">
        <f aca="false">IF(W8="","",ROUND(W8/2.54,1))</f>
        <v/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1"/>
      <c r="AO8" s="11"/>
      <c r="AP8" s="11"/>
      <c r="AQ8" s="11"/>
      <c r="AR8" s="11" t="str">
        <f aca="false">IF(COUNT(AN8,AO8,AP8,AQ8)=0,"",SUM(AN8:AQ8))</f>
        <v/>
      </c>
      <c r="AS8" s="10"/>
      <c r="AT8" s="10"/>
      <c r="AU8" s="11"/>
      <c r="AV8" s="11" t="str">
        <f aca="false">IF(OR(AU8="",U8="",V8=""),"",AU8/(U8*V8))</f>
        <v/>
      </c>
      <c r="AW8" s="12"/>
      <c r="AX8" s="11"/>
      <c r="AY8" s="12"/>
      <c r="AZ8" s="11" t="str">
        <f aca="false">IF(OR(AX8="",AY8=""),"",AX8*AY8)</f>
        <v/>
      </c>
      <c r="BA8" s="11" t="str">
        <f aca="false">IF(AX8="","",AX8-N(AZ8)-N(BC8))</f>
        <v/>
      </c>
      <c r="BB8" s="11" t="str">
        <f aca="false">IF(AX8="","",BA8-N(AR8))</f>
        <v/>
      </c>
      <c r="BC8" s="11"/>
      <c r="BD8" s="11"/>
      <c r="BE8" s="11" t="str">
        <f aca="false">IF(AX8="","",AX8-N(BD8))</f>
        <v/>
      </c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1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1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 t="str">
        <f aca="false">IF(U9="","",ROUND(U9/2.54,1))</f>
        <v/>
      </c>
      <c r="Y9" s="7" t="str">
        <f aca="false">IF(V9="","",ROUND(V9/2.54,1))</f>
        <v/>
      </c>
      <c r="Z9" s="7" t="str">
        <f aca="false">IF(W9="","",ROUND(W9/2.54,1))</f>
        <v/>
      </c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8"/>
      <c r="AO9" s="8"/>
      <c r="AP9" s="8"/>
      <c r="AQ9" s="8"/>
      <c r="AR9" s="8" t="str">
        <f aca="false">IF(COUNT(AN9,AO9,AP9,AQ9)=0,"",SUM(AN9:AQ9))</f>
        <v/>
      </c>
      <c r="AS9" s="7"/>
      <c r="AT9" s="7"/>
      <c r="AU9" s="8"/>
      <c r="AV9" s="8" t="str">
        <f aca="false">IF(OR(AU9="",U9="",V9=""),"",AU9/(U9*V9))</f>
        <v/>
      </c>
      <c r="AW9" s="9"/>
      <c r="AX9" s="8"/>
      <c r="AY9" s="9"/>
      <c r="AZ9" s="8" t="str">
        <f aca="false">IF(OR(AX9="",AY9=""),"",AX9*AY9)</f>
        <v/>
      </c>
      <c r="BA9" s="8" t="str">
        <f aca="false">IF(AX9="","",AX9-N(AZ9)-N(BC9))</f>
        <v/>
      </c>
      <c r="BB9" s="8" t="str">
        <f aca="false">IF(AX9="","",BA9-N(AR9))</f>
        <v/>
      </c>
      <c r="BC9" s="8"/>
      <c r="BD9" s="8"/>
      <c r="BE9" s="8" t="str">
        <f aca="false">IF(AX9="","",AX9-N(BD9))</f>
        <v/>
      </c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8"/>
      <c r="CF9" s="7"/>
      <c r="CG9" s="7"/>
      <c r="CH9" s="7"/>
      <c r="CI9" s="7"/>
      <c r="CJ9" s="7"/>
      <c r="CK9" s="7"/>
      <c r="CL9" s="7"/>
      <c r="CM9" s="7"/>
      <c r="CN9" s="7"/>
      <c r="CO9" s="7"/>
      <c r="CP9" s="8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 t="str">
        <f aca="false">IF(U10="","",ROUND(U10/2.54,1))</f>
        <v/>
      </c>
      <c r="Y10" s="10" t="str">
        <f aca="false">IF(V10="","",ROUND(V10/2.54,1))</f>
        <v/>
      </c>
      <c r="Z10" s="10" t="str">
        <f aca="false">IF(W10="","",ROUND(W10/2.54,1))</f>
        <v/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1"/>
      <c r="AO10" s="11"/>
      <c r="AP10" s="11"/>
      <c r="AQ10" s="11"/>
      <c r="AR10" s="11" t="str">
        <f aca="false">IF(COUNT(AN10,AO10,AP10,AQ10)=0,"",SUM(AN10:AQ10))</f>
        <v/>
      </c>
      <c r="AS10" s="10"/>
      <c r="AT10" s="10"/>
      <c r="AU10" s="11"/>
      <c r="AV10" s="11" t="str">
        <f aca="false">IF(OR(AU10="",U10="",V10=""),"",AU10/(U10*V10))</f>
        <v/>
      </c>
      <c r="AW10" s="12"/>
      <c r="AX10" s="11"/>
      <c r="AY10" s="12"/>
      <c r="AZ10" s="11" t="str">
        <f aca="false">IF(OR(AX10="",AY10=""),"",AX10*AY10)</f>
        <v/>
      </c>
      <c r="BA10" s="11" t="str">
        <f aca="false">IF(AX10="","",AX10-N(AZ10)-N(BC10))</f>
        <v/>
      </c>
      <c r="BB10" s="11" t="str">
        <f aca="false">IF(AX10="","",BA10-N(AR10))</f>
        <v/>
      </c>
      <c r="BC10" s="11"/>
      <c r="BD10" s="11"/>
      <c r="BE10" s="11" t="str">
        <f aca="false">IF(AX10="","",AX10-N(BD10))</f>
        <v/>
      </c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1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1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 t="str">
        <f aca="false">IF(U11="","",ROUND(U11/2.54,1))</f>
        <v/>
      </c>
      <c r="Y11" s="7" t="str">
        <f aca="false">IF(V11="","",ROUND(V11/2.54,1))</f>
        <v/>
      </c>
      <c r="Z11" s="7" t="str">
        <f aca="false">IF(W11="","",ROUND(W11/2.54,1))</f>
        <v/>
      </c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8"/>
      <c r="AO11" s="8"/>
      <c r="AP11" s="8"/>
      <c r="AQ11" s="8"/>
      <c r="AR11" s="8" t="str">
        <f aca="false">IF(COUNT(AN11,AO11,AP11,AQ11)=0,"",SUM(AN11:AQ11))</f>
        <v/>
      </c>
      <c r="AS11" s="7"/>
      <c r="AT11" s="7"/>
      <c r="AU11" s="8"/>
      <c r="AV11" s="8" t="str">
        <f aca="false">IF(OR(AU11="",U11="",V11=""),"",AU11/(U11*V11))</f>
        <v/>
      </c>
      <c r="AW11" s="9"/>
      <c r="AX11" s="8"/>
      <c r="AY11" s="9"/>
      <c r="AZ11" s="8" t="str">
        <f aca="false">IF(OR(AX11="",AY11=""),"",AX11*AY11)</f>
        <v/>
      </c>
      <c r="BA11" s="8" t="str">
        <f aca="false">IF(AX11="","",AX11-N(AZ11)-N(BC11))</f>
        <v/>
      </c>
      <c r="BB11" s="8" t="str">
        <f aca="false">IF(AX11="","",BA11-N(AR11))</f>
        <v/>
      </c>
      <c r="BC11" s="8"/>
      <c r="BD11" s="8"/>
      <c r="BE11" s="8" t="str">
        <f aca="false">IF(AX11="","",AX11-N(BD11))</f>
        <v/>
      </c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8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8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 t="str">
        <f aca="false">IF(U12="","",ROUND(U12/2.54,1))</f>
        <v/>
      </c>
      <c r="Y12" s="10" t="str">
        <f aca="false">IF(V12="","",ROUND(V12/2.54,1))</f>
        <v/>
      </c>
      <c r="Z12" s="10" t="str">
        <f aca="false">IF(W12="","",ROUND(W12/2.54,1))</f>
        <v/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1"/>
      <c r="AO12" s="11"/>
      <c r="AP12" s="11"/>
      <c r="AQ12" s="11"/>
      <c r="AR12" s="11" t="str">
        <f aca="false">IF(COUNT(AN12,AO12,AP12,AQ12)=0,"",SUM(AN12:AQ12))</f>
        <v/>
      </c>
      <c r="AS12" s="10"/>
      <c r="AT12" s="10"/>
      <c r="AU12" s="11"/>
      <c r="AV12" s="11" t="str">
        <f aca="false">IF(OR(AU12="",U12="",V12=""),"",AU12/(U12*V12))</f>
        <v/>
      </c>
      <c r="AW12" s="12"/>
      <c r="AX12" s="11"/>
      <c r="AY12" s="12"/>
      <c r="AZ12" s="11" t="str">
        <f aca="false">IF(OR(AX12="",AY12=""),"",AX12*AY12)</f>
        <v/>
      </c>
      <c r="BA12" s="11" t="str">
        <f aca="false">IF(AX12="","",AX12-N(AZ12)-N(BC12))</f>
        <v/>
      </c>
      <c r="BB12" s="11" t="str">
        <f aca="false">IF(AX12="","",BA12-N(AR12))</f>
        <v/>
      </c>
      <c r="BC12" s="11"/>
      <c r="BD12" s="11"/>
      <c r="BE12" s="11" t="str">
        <f aca="false">IF(AX12="","",AX12-N(BD12))</f>
        <v/>
      </c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1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1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 t="str">
        <f aca="false">IF(U13="","",ROUND(U13/2.54,1))</f>
        <v/>
      </c>
      <c r="Y13" s="7" t="str">
        <f aca="false">IF(V13="","",ROUND(V13/2.54,1))</f>
        <v/>
      </c>
      <c r="Z13" s="7" t="str">
        <f aca="false">IF(W13="","",ROUND(W13/2.54,1))</f>
        <v/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8"/>
      <c r="AO13" s="8"/>
      <c r="AP13" s="8"/>
      <c r="AQ13" s="8"/>
      <c r="AR13" s="8" t="str">
        <f aca="false">IF(COUNT(AN13,AO13,AP13,AQ13)=0,"",SUM(AN13:AQ13))</f>
        <v/>
      </c>
      <c r="AS13" s="7"/>
      <c r="AT13" s="7"/>
      <c r="AU13" s="8"/>
      <c r="AV13" s="8" t="str">
        <f aca="false">IF(OR(AU13="",U13="",V13=""),"",AU13/(U13*V13))</f>
        <v/>
      </c>
      <c r="AW13" s="9"/>
      <c r="AX13" s="8"/>
      <c r="AY13" s="9"/>
      <c r="AZ13" s="8" t="str">
        <f aca="false">IF(OR(AX13="",AY13=""),"",AX13*AY13)</f>
        <v/>
      </c>
      <c r="BA13" s="8" t="str">
        <f aca="false">IF(AX13="","",AX13-N(AZ13)-N(BC13))</f>
        <v/>
      </c>
      <c r="BB13" s="8" t="str">
        <f aca="false">IF(AX13="","",BA13-N(AR13))</f>
        <v/>
      </c>
      <c r="BC13" s="8"/>
      <c r="BD13" s="8"/>
      <c r="BE13" s="8" t="str">
        <f aca="false">IF(AX13="","",AX13-N(BD13))</f>
        <v/>
      </c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8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8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 t="str">
        <f aca="false">IF(U14="","",ROUND(U14/2.54,1))</f>
        <v/>
      </c>
      <c r="Y14" s="10" t="str">
        <f aca="false">IF(V14="","",ROUND(V14/2.54,1))</f>
        <v/>
      </c>
      <c r="Z14" s="10" t="str">
        <f aca="false">IF(W14="","",ROUND(W14/2.54,1))</f>
        <v/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1"/>
      <c r="AO14" s="11"/>
      <c r="AP14" s="11"/>
      <c r="AQ14" s="11"/>
      <c r="AR14" s="11" t="str">
        <f aca="false">IF(COUNT(AN14,AO14,AP14,AQ14)=0,"",SUM(AN14:AQ14))</f>
        <v/>
      </c>
      <c r="AS14" s="10"/>
      <c r="AT14" s="10"/>
      <c r="AU14" s="11"/>
      <c r="AV14" s="11" t="str">
        <f aca="false">IF(OR(AU14="",U14="",V14=""),"",AU14/(U14*V14))</f>
        <v/>
      </c>
      <c r="AW14" s="12"/>
      <c r="AX14" s="11"/>
      <c r="AY14" s="12"/>
      <c r="AZ14" s="11" t="str">
        <f aca="false">IF(OR(AX14="",AY14=""),"",AX14*AY14)</f>
        <v/>
      </c>
      <c r="BA14" s="11" t="str">
        <f aca="false">IF(AX14="","",AX14-N(AZ14)-N(BC14))</f>
        <v/>
      </c>
      <c r="BB14" s="11" t="str">
        <f aca="false">IF(AX14="","",BA14-N(AR14))</f>
        <v/>
      </c>
      <c r="BC14" s="11"/>
      <c r="BD14" s="11"/>
      <c r="BE14" s="11" t="str">
        <f aca="false">IF(AX14="","",AX14-N(BD14))</f>
        <v/>
      </c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1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1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 t="str">
        <f aca="false">IF(U15="","",ROUND(U15/2.54,1))</f>
        <v/>
      </c>
      <c r="Y15" s="7" t="str">
        <f aca="false">IF(V15="","",ROUND(V15/2.54,1))</f>
        <v/>
      </c>
      <c r="Z15" s="7" t="str">
        <f aca="false">IF(W15="","",ROUND(W15/2.54,1))</f>
        <v/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8"/>
      <c r="AO15" s="8"/>
      <c r="AP15" s="8"/>
      <c r="AQ15" s="8"/>
      <c r="AR15" s="8" t="str">
        <f aca="false">IF(COUNT(AN15,AO15,AP15,AQ15)=0,"",SUM(AN15:AQ15))</f>
        <v/>
      </c>
      <c r="AS15" s="7"/>
      <c r="AT15" s="7"/>
      <c r="AU15" s="8"/>
      <c r="AV15" s="8" t="str">
        <f aca="false">IF(OR(AU15="",U15="",V15=""),"",AU15/(U15*V15))</f>
        <v/>
      </c>
      <c r="AW15" s="9"/>
      <c r="AX15" s="8"/>
      <c r="AY15" s="9"/>
      <c r="AZ15" s="8" t="str">
        <f aca="false">IF(OR(AX15="",AY15=""),"",AX15*AY15)</f>
        <v/>
      </c>
      <c r="BA15" s="8" t="str">
        <f aca="false">IF(AX15="","",AX15-N(AZ15)-N(BC15))</f>
        <v/>
      </c>
      <c r="BB15" s="8" t="str">
        <f aca="false">IF(AX15="","",BA15-N(AR15))</f>
        <v/>
      </c>
      <c r="BC15" s="8"/>
      <c r="BD15" s="8"/>
      <c r="BE15" s="8" t="str">
        <f aca="false">IF(AX15="","",AX15-N(BD15))</f>
        <v/>
      </c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8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8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 t="str">
        <f aca="false">IF(U16="","",ROUND(U16/2.54,1))</f>
        <v/>
      </c>
      <c r="Y16" s="10" t="str">
        <f aca="false">IF(V16="","",ROUND(V16/2.54,1))</f>
        <v/>
      </c>
      <c r="Z16" s="10" t="str">
        <f aca="false">IF(W16="","",ROUND(W16/2.54,1))</f>
        <v/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1"/>
      <c r="AO16" s="11"/>
      <c r="AP16" s="11"/>
      <c r="AQ16" s="11"/>
      <c r="AR16" s="11" t="str">
        <f aca="false">IF(COUNT(AN16,AO16,AP16,AQ16)=0,"",SUM(AN16:AQ16))</f>
        <v/>
      </c>
      <c r="AS16" s="10"/>
      <c r="AT16" s="10"/>
      <c r="AU16" s="11"/>
      <c r="AV16" s="11" t="str">
        <f aca="false">IF(OR(AU16="",U16="",V16=""),"",AU16/(U16*V16))</f>
        <v/>
      </c>
      <c r="AW16" s="12"/>
      <c r="AX16" s="11"/>
      <c r="AY16" s="12"/>
      <c r="AZ16" s="11" t="str">
        <f aca="false">IF(OR(AX16="",AY16=""),"",AX16*AY16)</f>
        <v/>
      </c>
      <c r="BA16" s="11" t="str">
        <f aca="false">IF(AX16="","",AX16-N(AZ16)-N(BC16))</f>
        <v/>
      </c>
      <c r="BB16" s="11" t="str">
        <f aca="false">IF(AX16="","",BA16-N(AR16))</f>
        <v/>
      </c>
      <c r="BC16" s="11"/>
      <c r="BD16" s="11"/>
      <c r="BE16" s="11" t="str">
        <f aca="false">IF(AX16="","",AX16-N(BD16))</f>
        <v/>
      </c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1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1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 t="str">
        <f aca="false">IF(U17="","",ROUND(U17/2.54,1))</f>
        <v/>
      </c>
      <c r="Y17" s="7" t="str">
        <f aca="false">IF(V17="","",ROUND(V17/2.54,1))</f>
        <v/>
      </c>
      <c r="Z17" s="7" t="str">
        <f aca="false">IF(W17="","",ROUND(W17/2.54,1))</f>
        <v/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8"/>
      <c r="AO17" s="8"/>
      <c r="AP17" s="8"/>
      <c r="AQ17" s="8"/>
      <c r="AR17" s="8" t="str">
        <f aca="false">IF(COUNT(AN17,AO17,AP17,AQ17)=0,"",SUM(AN17:AQ17))</f>
        <v/>
      </c>
      <c r="AS17" s="7"/>
      <c r="AT17" s="7"/>
      <c r="AU17" s="8"/>
      <c r="AV17" s="8" t="str">
        <f aca="false">IF(OR(AU17="",U17="",V17=""),"",AU17/(U17*V17))</f>
        <v/>
      </c>
      <c r="AW17" s="9"/>
      <c r="AX17" s="8"/>
      <c r="AY17" s="9"/>
      <c r="AZ17" s="8" t="str">
        <f aca="false">IF(OR(AX17="",AY17=""),"",AX17*AY17)</f>
        <v/>
      </c>
      <c r="BA17" s="8" t="str">
        <f aca="false">IF(AX17="","",AX17-N(AZ17)-N(BC17))</f>
        <v/>
      </c>
      <c r="BB17" s="8" t="str">
        <f aca="false">IF(AX17="","",BA17-N(AR17))</f>
        <v/>
      </c>
      <c r="BC17" s="8"/>
      <c r="BD17" s="8"/>
      <c r="BE17" s="8" t="str">
        <f aca="false">IF(AX17="","",AX17-N(BD17))</f>
        <v/>
      </c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8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8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 t="str">
        <f aca="false">IF(U18="","",ROUND(U18/2.54,1))</f>
        <v/>
      </c>
      <c r="Y18" s="10" t="str">
        <f aca="false">IF(V18="","",ROUND(V18/2.54,1))</f>
        <v/>
      </c>
      <c r="Z18" s="10" t="str">
        <f aca="false">IF(W18="","",ROUND(W18/2.54,1))</f>
        <v/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1"/>
      <c r="AO18" s="11"/>
      <c r="AP18" s="11"/>
      <c r="AQ18" s="11"/>
      <c r="AR18" s="11" t="str">
        <f aca="false">IF(COUNT(AN18,AO18,AP18,AQ18)=0,"",SUM(AN18:AQ18))</f>
        <v/>
      </c>
      <c r="AS18" s="10"/>
      <c r="AT18" s="10"/>
      <c r="AU18" s="11"/>
      <c r="AV18" s="11" t="str">
        <f aca="false">IF(OR(AU18="",U18="",V18=""),"",AU18/(U18*V18))</f>
        <v/>
      </c>
      <c r="AW18" s="12"/>
      <c r="AX18" s="11"/>
      <c r="AY18" s="12"/>
      <c r="AZ18" s="11" t="str">
        <f aca="false">IF(OR(AX18="",AY18=""),"",AX18*AY18)</f>
        <v/>
      </c>
      <c r="BA18" s="11" t="str">
        <f aca="false">IF(AX18="","",AX18-N(AZ18)-N(BC18))</f>
        <v/>
      </c>
      <c r="BB18" s="11" t="str">
        <f aca="false">IF(AX18="","",BA18-N(AR18))</f>
        <v/>
      </c>
      <c r="BC18" s="11"/>
      <c r="BD18" s="11"/>
      <c r="BE18" s="11" t="str">
        <f aca="false">IF(AX18="","",AX18-N(BD18))</f>
        <v/>
      </c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1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1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 t="str">
        <f aca="false">IF(U19="","",ROUND(U19/2.54,1))</f>
        <v/>
      </c>
      <c r="Y19" s="7" t="str">
        <f aca="false">IF(V19="","",ROUND(V19/2.54,1))</f>
        <v/>
      </c>
      <c r="Z19" s="7" t="str">
        <f aca="false">IF(W19="","",ROUND(W19/2.54,1))</f>
        <v/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8"/>
      <c r="AO19" s="8"/>
      <c r="AP19" s="8"/>
      <c r="AQ19" s="8"/>
      <c r="AR19" s="8" t="str">
        <f aca="false">IF(COUNT(AN19,AO19,AP19,AQ19)=0,"",SUM(AN19:AQ19))</f>
        <v/>
      </c>
      <c r="AS19" s="7"/>
      <c r="AT19" s="7"/>
      <c r="AU19" s="8"/>
      <c r="AV19" s="8" t="str">
        <f aca="false">IF(OR(AU19="",U19="",V19=""),"",AU19/(U19*V19))</f>
        <v/>
      </c>
      <c r="AW19" s="9"/>
      <c r="AX19" s="8"/>
      <c r="AY19" s="9"/>
      <c r="AZ19" s="8" t="str">
        <f aca="false">IF(OR(AX19="",AY19=""),"",AX19*AY19)</f>
        <v/>
      </c>
      <c r="BA19" s="8" t="str">
        <f aca="false">IF(AX19="","",AX19-N(AZ19)-N(BC19))</f>
        <v/>
      </c>
      <c r="BB19" s="8" t="str">
        <f aca="false">IF(AX19="","",BA19-N(AR19))</f>
        <v/>
      </c>
      <c r="BC19" s="8"/>
      <c r="BD19" s="8"/>
      <c r="BE19" s="8" t="str">
        <f aca="false">IF(AX19="","",AX19-N(BD19))</f>
        <v/>
      </c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8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8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 t="str">
        <f aca="false">IF(U20="","",ROUND(U20/2.54,1))</f>
        <v/>
      </c>
      <c r="Y20" s="10" t="str">
        <f aca="false">IF(V20="","",ROUND(V20/2.54,1))</f>
        <v/>
      </c>
      <c r="Z20" s="10" t="str">
        <f aca="false">IF(W20="","",ROUND(W20/2.54,1))</f>
        <v/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1"/>
      <c r="AO20" s="11"/>
      <c r="AP20" s="11"/>
      <c r="AQ20" s="11"/>
      <c r="AR20" s="11" t="str">
        <f aca="false">IF(COUNT(AN20,AO20,AP20,AQ20)=0,"",SUM(AN20:AQ20))</f>
        <v/>
      </c>
      <c r="AS20" s="10"/>
      <c r="AT20" s="10"/>
      <c r="AU20" s="11"/>
      <c r="AV20" s="11" t="str">
        <f aca="false">IF(OR(AU20="",U20="",V20=""),"",AU20/(U20*V20))</f>
        <v/>
      </c>
      <c r="AW20" s="12"/>
      <c r="AX20" s="11"/>
      <c r="AY20" s="12"/>
      <c r="AZ20" s="11" t="str">
        <f aca="false">IF(OR(AX20="",AY20=""),"",AX20*AY20)</f>
        <v/>
      </c>
      <c r="BA20" s="11" t="str">
        <f aca="false">IF(AX20="","",AX20-N(AZ20)-N(BC20))</f>
        <v/>
      </c>
      <c r="BB20" s="11" t="str">
        <f aca="false">IF(AX20="","",BA20-N(AR20))</f>
        <v/>
      </c>
      <c r="BC20" s="11"/>
      <c r="BD20" s="11"/>
      <c r="BE20" s="11" t="str">
        <f aca="false">IF(AX20="","",AX20-N(BD20))</f>
        <v/>
      </c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1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1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 t="str">
        <f aca="false">IF(U21="","",ROUND(U21/2.54,1))</f>
        <v/>
      </c>
      <c r="Y21" s="7" t="str">
        <f aca="false">IF(V21="","",ROUND(V21/2.54,1))</f>
        <v/>
      </c>
      <c r="Z21" s="7" t="str">
        <f aca="false">IF(W21="","",ROUND(W21/2.54,1))</f>
        <v/>
      </c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8"/>
      <c r="AO21" s="8"/>
      <c r="AP21" s="8"/>
      <c r="AQ21" s="8"/>
      <c r="AR21" s="8" t="str">
        <f aca="false">IF(COUNT(AN21,AO21,AP21,AQ21)=0,"",SUM(AN21:AQ21))</f>
        <v/>
      </c>
      <c r="AS21" s="7"/>
      <c r="AT21" s="7"/>
      <c r="AU21" s="8"/>
      <c r="AV21" s="8" t="str">
        <f aca="false">IF(OR(AU21="",U21="",V21=""),"",AU21/(U21*V21))</f>
        <v/>
      </c>
      <c r="AW21" s="9"/>
      <c r="AX21" s="8"/>
      <c r="AY21" s="9"/>
      <c r="AZ21" s="8" t="str">
        <f aca="false">IF(OR(AX21="",AY21=""),"",AX21*AY21)</f>
        <v/>
      </c>
      <c r="BA21" s="8" t="str">
        <f aca="false">IF(AX21="","",AX21-N(AZ21)-N(BC21))</f>
        <v/>
      </c>
      <c r="BB21" s="8" t="str">
        <f aca="false">IF(AX21="","",BA21-N(AR21))</f>
        <v/>
      </c>
      <c r="BC21" s="8"/>
      <c r="BD21" s="8"/>
      <c r="BE21" s="8" t="str">
        <f aca="false">IF(AX21="","",AX21-N(BD21))</f>
        <v/>
      </c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8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8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 t="str">
        <f aca="false">IF(U22="","",ROUND(U22/2.54,1))</f>
        <v/>
      </c>
      <c r="Y22" s="10" t="str">
        <f aca="false">IF(V22="","",ROUND(V22/2.54,1))</f>
        <v/>
      </c>
      <c r="Z22" s="10" t="str">
        <f aca="false">IF(W22="","",ROUND(W22/2.54,1))</f>
        <v/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1"/>
      <c r="AO22" s="11"/>
      <c r="AP22" s="11"/>
      <c r="AQ22" s="11"/>
      <c r="AR22" s="11" t="str">
        <f aca="false">IF(COUNT(AN22,AO22,AP22,AQ22)=0,"",SUM(AN22:AQ22))</f>
        <v/>
      </c>
      <c r="AS22" s="10"/>
      <c r="AT22" s="10"/>
      <c r="AU22" s="11"/>
      <c r="AV22" s="11" t="str">
        <f aca="false">IF(OR(AU22="",U22="",V22=""),"",AU22/(U22*V22))</f>
        <v/>
      </c>
      <c r="AW22" s="12"/>
      <c r="AX22" s="11"/>
      <c r="AY22" s="12"/>
      <c r="AZ22" s="11" t="str">
        <f aca="false">IF(OR(AX22="",AY22=""),"",AX22*AY22)</f>
        <v/>
      </c>
      <c r="BA22" s="11" t="str">
        <f aca="false">IF(AX22="","",AX22-N(AZ22)-N(BC22))</f>
        <v/>
      </c>
      <c r="BB22" s="11" t="str">
        <f aca="false">IF(AX22="","",BA22-N(AR22))</f>
        <v/>
      </c>
      <c r="BC22" s="11"/>
      <c r="BD22" s="11"/>
      <c r="BE22" s="11" t="str">
        <f aca="false">IF(AX22="","",AX22-N(BD22))</f>
        <v/>
      </c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1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1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 t="str">
        <f aca="false">IF(U23="","",ROUND(U23/2.54,1))</f>
        <v/>
      </c>
      <c r="Y23" s="7" t="str">
        <f aca="false">IF(V23="","",ROUND(V23/2.54,1))</f>
        <v/>
      </c>
      <c r="Z23" s="7" t="str">
        <f aca="false">IF(W23="","",ROUND(W23/2.54,1))</f>
        <v/>
      </c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8"/>
      <c r="AO23" s="8"/>
      <c r="AP23" s="8"/>
      <c r="AQ23" s="8"/>
      <c r="AR23" s="8" t="str">
        <f aca="false">IF(COUNT(AN23,AO23,AP23,AQ23)=0,"",SUM(AN23:AQ23))</f>
        <v/>
      </c>
      <c r="AS23" s="7"/>
      <c r="AT23" s="7"/>
      <c r="AU23" s="8"/>
      <c r="AV23" s="8" t="str">
        <f aca="false">IF(OR(AU23="",U23="",V23=""),"",AU23/(U23*V23))</f>
        <v/>
      </c>
      <c r="AW23" s="9"/>
      <c r="AX23" s="8"/>
      <c r="AY23" s="9"/>
      <c r="AZ23" s="8" t="str">
        <f aca="false">IF(OR(AX23="",AY23=""),"",AX23*AY23)</f>
        <v/>
      </c>
      <c r="BA23" s="8" t="str">
        <f aca="false">IF(AX23="","",AX23-N(AZ23)-N(BC23))</f>
        <v/>
      </c>
      <c r="BB23" s="8" t="str">
        <f aca="false">IF(AX23="","",BA23-N(AR23))</f>
        <v/>
      </c>
      <c r="BC23" s="8"/>
      <c r="BD23" s="8"/>
      <c r="BE23" s="8" t="str">
        <f aca="false">IF(AX23="","",AX23-N(BD23))</f>
        <v/>
      </c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8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8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 t="str">
        <f aca="false">IF(U24="","",ROUND(U24/2.54,1))</f>
        <v/>
      </c>
      <c r="Y24" s="10" t="str">
        <f aca="false">IF(V24="","",ROUND(V24/2.54,1))</f>
        <v/>
      </c>
      <c r="Z24" s="10" t="str">
        <f aca="false">IF(W24="","",ROUND(W24/2.54,1))</f>
        <v/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1"/>
      <c r="AO24" s="11"/>
      <c r="AP24" s="11"/>
      <c r="AQ24" s="11"/>
      <c r="AR24" s="11" t="str">
        <f aca="false">IF(COUNT(AN24,AO24,AP24,AQ24)=0,"",SUM(AN24:AQ24))</f>
        <v/>
      </c>
      <c r="AS24" s="10"/>
      <c r="AT24" s="10"/>
      <c r="AU24" s="11"/>
      <c r="AV24" s="11" t="str">
        <f aca="false">IF(OR(AU24="",U24="",V24=""),"",AU24/(U24*V24))</f>
        <v/>
      </c>
      <c r="AW24" s="12"/>
      <c r="AX24" s="11"/>
      <c r="AY24" s="12"/>
      <c r="AZ24" s="11" t="str">
        <f aca="false">IF(OR(AX24="",AY24=""),"",AX24*AY24)</f>
        <v/>
      </c>
      <c r="BA24" s="11" t="str">
        <f aca="false">IF(AX24="","",AX24-N(AZ24)-N(BC24))</f>
        <v/>
      </c>
      <c r="BB24" s="11" t="str">
        <f aca="false">IF(AX24="","",BA24-N(AR24))</f>
        <v/>
      </c>
      <c r="BC24" s="11"/>
      <c r="BD24" s="11"/>
      <c r="BE24" s="11" t="str">
        <f aca="false">IF(AX24="","",AX24-N(BD24))</f>
        <v/>
      </c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1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1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 t="str">
        <f aca="false">IF(U25="","",ROUND(U25/2.54,1))</f>
        <v/>
      </c>
      <c r="Y25" s="7" t="str">
        <f aca="false">IF(V25="","",ROUND(V25/2.54,1))</f>
        <v/>
      </c>
      <c r="Z25" s="7" t="str">
        <f aca="false">IF(W25="","",ROUND(W25/2.54,1))</f>
        <v/>
      </c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8"/>
      <c r="AO25" s="8"/>
      <c r="AP25" s="8"/>
      <c r="AQ25" s="8"/>
      <c r="AR25" s="8" t="str">
        <f aca="false">IF(COUNT(AN25,AO25,AP25,AQ25)=0,"",SUM(AN25:AQ25))</f>
        <v/>
      </c>
      <c r="AS25" s="7"/>
      <c r="AT25" s="7"/>
      <c r="AU25" s="8"/>
      <c r="AV25" s="8" t="str">
        <f aca="false">IF(OR(AU25="",U25="",V25=""),"",AU25/(U25*V25))</f>
        <v/>
      </c>
      <c r="AW25" s="9"/>
      <c r="AX25" s="8"/>
      <c r="AY25" s="9"/>
      <c r="AZ25" s="8" t="str">
        <f aca="false">IF(OR(AX25="",AY25=""),"",AX25*AY25)</f>
        <v/>
      </c>
      <c r="BA25" s="8" t="str">
        <f aca="false">IF(AX25="","",AX25-N(AZ25)-N(BC25))</f>
        <v/>
      </c>
      <c r="BB25" s="8" t="str">
        <f aca="false">IF(AX25="","",BA25-N(AR25))</f>
        <v/>
      </c>
      <c r="BC25" s="8"/>
      <c r="BD25" s="8"/>
      <c r="BE25" s="8" t="str">
        <f aca="false">IF(AX25="","",AX25-N(BD25))</f>
        <v/>
      </c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8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8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 t="str">
        <f aca="false">IF(U26="","",ROUND(U26/2.54,1))</f>
        <v/>
      </c>
      <c r="Y26" s="10" t="str">
        <f aca="false">IF(V26="","",ROUND(V26/2.54,1))</f>
        <v/>
      </c>
      <c r="Z26" s="10" t="str">
        <f aca="false">IF(W26="","",ROUND(W26/2.54,1))</f>
        <v/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1"/>
      <c r="AO26" s="11"/>
      <c r="AP26" s="11"/>
      <c r="AQ26" s="11"/>
      <c r="AR26" s="11" t="str">
        <f aca="false">IF(COUNT(AN26,AO26,AP26,AQ26)=0,"",SUM(AN26:AQ26))</f>
        <v/>
      </c>
      <c r="AS26" s="10"/>
      <c r="AT26" s="10"/>
      <c r="AU26" s="11"/>
      <c r="AV26" s="11" t="str">
        <f aca="false">IF(OR(AU26="",U26="",V26=""),"",AU26/(U26*V26))</f>
        <v/>
      </c>
      <c r="AW26" s="12"/>
      <c r="AX26" s="11"/>
      <c r="AY26" s="12"/>
      <c r="AZ26" s="11" t="str">
        <f aca="false">IF(OR(AX26="",AY26=""),"",AX26*AY26)</f>
        <v/>
      </c>
      <c r="BA26" s="11" t="str">
        <f aca="false">IF(AX26="","",AX26-N(AZ26)-N(BC26))</f>
        <v/>
      </c>
      <c r="BB26" s="11" t="str">
        <f aca="false">IF(AX26="","",BA26-N(AR26))</f>
        <v/>
      </c>
      <c r="BC26" s="11"/>
      <c r="BD26" s="11"/>
      <c r="BE26" s="11" t="str">
        <f aca="false">IF(AX26="","",AX26-N(BD26))</f>
        <v/>
      </c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1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1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 t="str">
        <f aca="false">IF(U27="","",ROUND(U27/2.54,1))</f>
        <v/>
      </c>
      <c r="Y27" s="7" t="str">
        <f aca="false">IF(V27="","",ROUND(V27/2.54,1))</f>
        <v/>
      </c>
      <c r="Z27" s="7" t="str">
        <f aca="false">IF(W27="","",ROUND(W27/2.54,1))</f>
        <v/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8"/>
      <c r="AO27" s="8"/>
      <c r="AP27" s="8"/>
      <c r="AQ27" s="8"/>
      <c r="AR27" s="8" t="str">
        <f aca="false">IF(COUNT(AN27,AO27,AP27,AQ27)=0,"",SUM(AN27:AQ27))</f>
        <v/>
      </c>
      <c r="AS27" s="7"/>
      <c r="AT27" s="7"/>
      <c r="AU27" s="8"/>
      <c r="AV27" s="8" t="str">
        <f aca="false">IF(OR(AU27="",U27="",V27=""),"",AU27/(U27*V27))</f>
        <v/>
      </c>
      <c r="AW27" s="9"/>
      <c r="AX27" s="8"/>
      <c r="AY27" s="9"/>
      <c r="AZ27" s="8" t="str">
        <f aca="false">IF(OR(AX27="",AY27=""),"",AX27*AY27)</f>
        <v/>
      </c>
      <c r="BA27" s="8" t="str">
        <f aca="false">IF(AX27="","",AX27-N(AZ27)-N(BC27))</f>
        <v/>
      </c>
      <c r="BB27" s="8" t="str">
        <f aca="false">IF(AX27="","",BA27-N(AR27))</f>
        <v/>
      </c>
      <c r="BC27" s="8"/>
      <c r="BD27" s="8"/>
      <c r="BE27" s="8" t="str">
        <f aca="false">IF(AX27="","",AX27-N(BD27))</f>
        <v/>
      </c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8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8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 t="str">
        <f aca="false">IF(U28="","",ROUND(U28/2.54,1))</f>
        <v/>
      </c>
      <c r="Y28" s="10" t="str">
        <f aca="false">IF(V28="","",ROUND(V28/2.54,1))</f>
        <v/>
      </c>
      <c r="Z28" s="10" t="str">
        <f aca="false">IF(W28="","",ROUND(W28/2.54,1))</f>
        <v/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1"/>
      <c r="AO28" s="11"/>
      <c r="AP28" s="11"/>
      <c r="AQ28" s="11"/>
      <c r="AR28" s="11" t="str">
        <f aca="false">IF(COUNT(AN28,AO28,AP28,AQ28)=0,"",SUM(AN28:AQ28))</f>
        <v/>
      </c>
      <c r="AS28" s="10"/>
      <c r="AT28" s="10"/>
      <c r="AU28" s="11"/>
      <c r="AV28" s="11" t="str">
        <f aca="false">IF(OR(AU28="",U28="",V28=""),"",AU28/(U28*V28))</f>
        <v/>
      </c>
      <c r="AW28" s="12"/>
      <c r="AX28" s="11"/>
      <c r="AY28" s="12"/>
      <c r="AZ28" s="11" t="str">
        <f aca="false">IF(OR(AX28="",AY28=""),"",AX28*AY28)</f>
        <v/>
      </c>
      <c r="BA28" s="11" t="str">
        <f aca="false">IF(AX28="","",AX28-N(AZ28)-N(BC28))</f>
        <v/>
      </c>
      <c r="BB28" s="11" t="str">
        <f aca="false">IF(AX28="","",BA28-N(AR28))</f>
        <v/>
      </c>
      <c r="BC28" s="11"/>
      <c r="BD28" s="11"/>
      <c r="BE28" s="11" t="str">
        <f aca="false">IF(AX28="","",AX28-N(BD28))</f>
        <v/>
      </c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1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1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 t="str">
        <f aca="false">IF(U29="","",ROUND(U29/2.54,1))</f>
        <v/>
      </c>
      <c r="Y29" s="7" t="str">
        <f aca="false">IF(V29="","",ROUND(V29/2.54,1))</f>
        <v/>
      </c>
      <c r="Z29" s="7" t="str">
        <f aca="false">IF(W29="","",ROUND(W29/2.54,1))</f>
        <v/>
      </c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8"/>
      <c r="AO29" s="8"/>
      <c r="AP29" s="8"/>
      <c r="AQ29" s="8"/>
      <c r="AR29" s="8" t="str">
        <f aca="false">IF(COUNT(AN29,AO29,AP29,AQ29)=0,"",SUM(AN29:AQ29))</f>
        <v/>
      </c>
      <c r="AS29" s="7"/>
      <c r="AT29" s="7"/>
      <c r="AU29" s="8"/>
      <c r="AV29" s="8" t="str">
        <f aca="false">IF(OR(AU29="",U29="",V29=""),"",AU29/(U29*V29))</f>
        <v/>
      </c>
      <c r="AW29" s="9"/>
      <c r="AX29" s="8"/>
      <c r="AY29" s="9"/>
      <c r="AZ29" s="8" t="str">
        <f aca="false">IF(OR(AX29="",AY29=""),"",AX29*AY29)</f>
        <v/>
      </c>
      <c r="BA29" s="8" t="str">
        <f aca="false">IF(AX29="","",AX29-N(AZ29)-N(BC29))</f>
        <v/>
      </c>
      <c r="BB29" s="8" t="str">
        <f aca="false">IF(AX29="","",BA29-N(AR29))</f>
        <v/>
      </c>
      <c r="BC29" s="8"/>
      <c r="BD29" s="8"/>
      <c r="BE29" s="8" t="str">
        <f aca="false">IF(AX29="","",AX29-N(BD29))</f>
        <v/>
      </c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8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8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 t="str">
        <f aca="false">IF(U30="","",ROUND(U30/2.54,1))</f>
        <v/>
      </c>
      <c r="Y30" s="10" t="str">
        <f aca="false">IF(V30="","",ROUND(V30/2.54,1))</f>
        <v/>
      </c>
      <c r="Z30" s="10" t="str">
        <f aca="false">IF(W30="","",ROUND(W30/2.54,1))</f>
        <v/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1"/>
      <c r="AO30" s="11"/>
      <c r="AP30" s="11"/>
      <c r="AQ30" s="11"/>
      <c r="AR30" s="11" t="str">
        <f aca="false">IF(COUNT(AN30,AO30,AP30,AQ30)=0,"",SUM(AN30:AQ30))</f>
        <v/>
      </c>
      <c r="AS30" s="10"/>
      <c r="AT30" s="10"/>
      <c r="AU30" s="11"/>
      <c r="AV30" s="11" t="str">
        <f aca="false">IF(OR(AU30="",U30="",V30=""),"",AU30/(U30*V30))</f>
        <v/>
      </c>
      <c r="AW30" s="12"/>
      <c r="AX30" s="11"/>
      <c r="AY30" s="12"/>
      <c r="AZ30" s="11" t="str">
        <f aca="false">IF(OR(AX30="",AY30=""),"",AX30*AY30)</f>
        <v/>
      </c>
      <c r="BA30" s="11" t="str">
        <f aca="false">IF(AX30="","",AX30-N(AZ30)-N(BC30))</f>
        <v/>
      </c>
      <c r="BB30" s="11" t="str">
        <f aca="false">IF(AX30="","",BA30-N(AR30))</f>
        <v/>
      </c>
      <c r="BC30" s="11"/>
      <c r="BD30" s="11"/>
      <c r="BE30" s="11" t="str">
        <f aca="false">IF(AX30="","",AX30-N(BD30))</f>
        <v/>
      </c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1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1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 t="str">
        <f aca="false">IF(U31="","",ROUND(U31/2.54,1))</f>
        <v/>
      </c>
      <c r="Y31" s="7" t="str">
        <f aca="false">IF(V31="","",ROUND(V31/2.54,1))</f>
        <v/>
      </c>
      <c r="Z31" s="7" t="str">
        <f aca="false">IF(W31="","",ROUND(W31/2.54,1))</f>
        <v/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8"/>
      <c r="AO31" s="8"/>
      <c r="AP31" s="8"/>
      <c r="AQ31" s="8"/>
      <c r="AR31" s="8" t="str">
        <f aca="false">IF(COUNT(AN31,AO31,AP31,AQ31)=0,"",SUM(AN31:AQ31))</f>
        <v/>
      </c>
      <c r="AS31" s="7"/>
      <c r="AT31" s="7"/>
      <c r="AU31" s="8"/>
      <c r="AV31" s="8" t="str">
        <f aca="false">IF(OR(AU31="",U31="",V31=""),"",AU31/(U31*V31))</f>
        <v/>
      </c>
      <c r="AW31" s="9"/>
      <c r="AX31" s="8"/>
      <c r="AY31" s="9"/>
      <c r="AZ31" s="8" t="str">
        <f aca="false">IF(OR(AX31="",AY31=""),"",AX31*AY31)</f>
        <v/>
      </c>
      <c r="BA31" s="8" t="str">
        <f aca="false">IF(AX31="","",AX31-N(AZ31)-N(BC31))</f>
        <v/>
      </c>
      <c r="BB31" s="8" t="str">
        <f aca="false">IF(AX31="","",BA31-N(AR31))</f>
        <v/>
      </c>
      <c r="BC31" s="8"/>
      <c r="BD31" s="8"/>
      <c r="BE31" s="8" t="str">
        <f aca="false">IF(AX31="","",AX31-N(BD31))</f>
        <v/>
      </c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8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8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 t="str">
        <f aca="false">IF(U32="","",ROUND(U32/2.54,1))</f>
        <v/>
      </c>
      <c r="Y32" s="10" t="str">
        <f aca="false">IF(V32="","",ROUND(V32/2.54,1))</f>
        <v/>
      </c>
      <c r="Z32" s="10" t="str">
        <f aca="false">IF(W32="","",ROUND(W32/2.54,1))</f>
        <v/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1"/>
      <c r="AO32" s="11"/>
      <c r="AP32" s="11"/>
      <c r="AQ32" s="11"/>
      <c r="AR32" s="11" t="str">
        <f aca="false">IF(COUNT(AN32,AO32,AP32,AQ32)=0,"",SUM(AN32:AQ32))</f>
        <v/>
      </c>
      <c r="AS32" s="10"/>
      <c r="AT32" s="10"/>
      <c r="AU32" s="11"/>
      <c r="AV32" s="11" t="str">
        <f aca="false">IF(OR(AU32="",U32="",V32=""),"",AU32/(U32*V32))</f>
        <v/>
      </c>
      <c r="AW32" s="12"/>
      <c r="AX32" s="11"/>
      <c r="AY32" s="12"/>
      <c r="AZ32" s="11" t="str">
        <f aca="false">IF(OR(AX32="",AY32=""),"",AX32*AY32)</f>
        <v/>
      </c>
      <c r="BA32" s="11" t="str">
        <f aca="false">IF(AX32="","",AX32-N(AZ32)-N(BC32))</f>
        <v/>
      </c>
      <c r="BB32" s="11" t="str">
        <f aca="false">IF(AX32="","",BA32-N(AR32))</f>
        <v/>
      </c>
      <c r="BC32" s="11"/>
      <c r="BD32" s="11"/>
      <c r="BE32" s="11" t="str">
        <f aca="false">IF(AX32="","",AX32-N(BD32))</f>
        <v/>
      </c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1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1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 t="str">
        <f aca="false">IF(U33="","",ROUND(U33/2.54,1))</f>
        <v/>
      </c>
      <c r="Y33" s="7" t="str">
        <f aca="false">IF(V33="","",ROUND(V33/2.54,1))</f>
        <v/>
      </c>
      <c r="Z33" s="7" t="str">
        <f aca="false">IF(W33="","",ROUND(W33/2.54,1))</f>
        <v/>
      </c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8"/>
      <c r="AO33" s="8"/>
      <c r="AP33" s="8"/>
      <c r="AQ33" s="8"/>
      <c r="AR33" s="8" t="str">
        <f aca="false">IF(COUNT(AN33,AO33,AP33,AQ33)=0,"",SUM(AN33:AQ33))</f>
        <v/>
      </c>
      <c r="AS33" s="7"/>
      <c r="AT33" s="7"/>
      <c r="AU33" s="8"/>
      <c r="AV33" s="8" t="str">
        <f aca="false">IF(OR(AU33="",U33="",V33=""),"",AU33/(U33*V33))</f>
        <v/>
      </c>
      <c r="AW33" s="9"/>
      <c r="AX33" s="8"/>
      <c r="AY33" s="9"/>
      <c r="AZ33" s="8" t="str">
        <f aca="false">IF(OR(AX33="",AY33=""),"",AX33*AY33)</f>
        <v/>
      </c>
      <c r="BA33" s="8" t="str">
        <f aca="false">IF(AX33="","",AX33-N(AZ33)-N(BC33))</f>
        <v/>
      </c>
      <c r="BB33" s="8" t="str">
        <f aca="false">IF(AX33="","",BA33-N(AR33))</f>
        <v/>
      </c>
      <c r="BC33" s="8"/>
      <c r="BD33" s="8"/>
      <c r="BE33" s="8" t="str">
        <f aca="false">IF(AX33="","",AX33-N(BD33))</f>
        <v/>
      </c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8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8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 t="str">
        <f aca="false">IF(U34="","",ROUND(U34/2.54,1))</f>
        <v/>
      </c>
      <c r="Y34" s="10" t="str">
        <f aca="false">IF(V34="","",ROUND(V34/2.54,1))</f>
        <v/>
      </c>
      <c r="Z34" s="10" t="str">
        <f aca="false">IF(W34="","",ROUND(W34/2.54,1))</f>
        <v/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1"/>
      <c r="AO34" s="11"/>
      <c r="AP34" s="11"/>
      <c r="AQ34" s="11"/>
      <c r="AR34" s="11" t="str">
        <f aca="false">IF(COUNT(AN34,AO34,AP34,AQ34)=0,"",SUM(AN34:AQ34))</f>
        <v/>
      </c>
      <c r="AS34" s="10"/>
      <c r="AT34" s="10"/>
      <c r="AU34" s="11"/>
      <c r="AV34" s="11" t="str">
        <f aca="false">IF(OR(AU34="",U34="",V34=""),"",AU34/(U34*V34))</f>
        <v/>
      </c>
      <c r="AW34" s="12"/>
      <c r="AX34" s="11"/>
      <c r="AY34" s="12"/>
      <c r="AZ34" s="11" t="str">
        <f aca="false">IF(OR(AX34="",AY34=""),"",AX34*AY34)</f>
        <v/>
      </c>
      <c r="BA34" s="11" t="str">
        <f aca="false">IF(AX34="","",AX34-N(AZ34)-N(BC34))</f>
        <v/>
      </c>
      <c r="BB34" s="11" t="str">
        <f aca="false">IF(AX34="","",BA34-N(AR34))</f>
        <v/>
      </c>
      <c r="BC34" s="11"/>
      <c r="BD34" s="11"/>
      <c r="BE34" s="11" t="str">
        <f aca="false">IF(AX34="","",AX34-N(BD34))</f>
        <v/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1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1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 t="str">
        <f aca="false">IF(U35="","",ROUND(U35/2.54,1))</f>
        <v/>
      </c>
      <c r="Y35" s="7" t="str">
        <f aca="false">IF(V35="","",ROUND(V35/2.54,1))</f>
        <v/>
      </c>
      <c r="Z35" s="7" t="str">
        <f aca="false">IF(W35="","",ROUND(W35/2.54,1))</f>
        <v/>
      </c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8"/>
      <c r="AO35" s="8"/>
      <c r="AP35" s="8"/>
      <c r="AQ35" s="8"/>
      <c r="AR35" s="8" t="str">
        <f aca="false">IF(COUNT(AN35,AO35,AP35,AQ35)=0,"",SUM(AN35:AQ35))</f>
        <v/>
      </c>
      <c r="AS35" s="7"/>
      <c r="AT35" s="7"/>
      <c r="AU35" s="8"/>
      <c r="AV35" s="8" t="str">
        <f aca="false">IF(OR(AU35="",U35="",V35=""),"",AU35/(U35*V35))</f>
        <v/>
      </c>
      <c r="AW35" s="9"/>
      <c r="AX35" s="8"/>
      <c r="AY35" s="9"/>
      <c r="AZ35" s="8" t="str">
        <f aca="false">IF(OR(AX35="",AY35=""),"",AX35*AY35)</f>
        <v/>
      </c>
      <c r="BA35" s="8" t="str">
        <f aca="false">IF(AX35="","",AX35-N(AZ35)-N(BC35))</f>
        <v/>
      </c>
      <c r="BB35" s="8" t="str">
        <f aca="false">IF(AX35="","",BA35-N(AR35))</f>
        <v/>
      </c>
      <c r="BC35" s="8"/>
      <c r="BD35" s="8"/>
      <c r="BE35" s="8" t="str">
        <f aca="false">IF(AX35="","",AX35-N(BD35))</f>
        <v/>
      </c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8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8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 t="str">
        <f aca="false">IF(U36="","",ROUND(U36/2.54,1))</f>
        <v/>
      </c>
      <c r="Y36" s="10" t="str">
        <f aca="false">IF(V36="","",ROUND(V36/2.54,1))</f>
        <v/>
      </c>
      <c r="Z36" s="10" t="str">
        <f aca="false">IF(W36="","",ROUND(W36/2.54,1))</f>
        <v/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1"/>
      <c r="AO36" s="11"/>
      <c r="AP36" s="11"/>
      <c r="AQ36" s="11"/>
      <c r="AR36" s="11" t="str">
        <f aca="false">IF(COUNT(AN36,AO36,AP36,AQ36)=0,"",SUM(AN36:AQ36))</f>
        <v/>
      </c>
      <c r="AS36" s="10"/>
      <c r="AT36" s="10"/>
      <c r="AU36" s="11"/>
      <c r="AV36" s="11" t="str">
        <f aca="false">IF(OR(AU36="",U36="",V36=""),"",AU36/(U36*V36))</f>
        <v/>
      </c>
      <c r="AW36" s="12"/>
      <c r="AX36" s="11"/>
      <c r="AY36" s="12"/>
      <c r="AZ36" s="11" t="str">
        <f aca="false">IF(OR(AX36="",AY36=""),"",AX36*AY36)</f>
        <v/>
      </c>
      <c r="BA36" s="11" t="str">
        <f aca="false">IF(AX36="","",AX36-N(AZ36)-N(BC36))</f>
        <v/>
      </c>
      <c r="BB36" s="11" t="str">
        <f aca="false">IF(AX36="","",BA36-N(AR36))</f>
        <v/>
      </c>
      <c r="BC36" s="11"/>
      <c r="BD36" s="11"/>
      <c r="BE36" s="11" t="str">
        <f aca="false">IF(AX36="","",AX36-N(BD36))</f>
        <v/>
      </c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1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1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 t="str">
        <f aca="false">IF(U37="","",ROUND(U37/2.54,1))</f>
        <v/>
      </c>
      <c r="Y37" s="7" t="str">
        <f aca="false">IF(V37="","",ROUND(V37/2.54,1))</f>
        <v/>
      </c>
      <c r="Z37" s="7" t="str">
        <f aca="false">IF(W37="","",ROUND(W37/2.54,1))</f>
        <v/>
      </c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8"/>
      <c r="AO37" s="8"/>
      <c r="AP37" s="8"/>
      <c r="AQ37" s="8"/>
      <c r="AR37" s="8" t="str">
        <f aca="false">IF(COUNT(AN37,AO37,AP37,AQ37)=0,"",SUM(AN37:AQ37))</f>
        <v/>
      </c>
      <c r="AS37" s="7"/>
      <c r="AT37" s="7"/>
      <c r="AU37" s="8"/>
      <c r="AV37" s="8" t="str">
        <f aca="false">IF(OR(AU37="",U37="",V37=""),"",AU37/(U37*V37))</f>
        <v/>
      </c>
      <c r="AW37" s="9"/>
      <c r="AX37" s="8"/>
      <c r="AY37" s="9"/>
      <c r="AZ37" s="8" t="str">
        <f aca="false">IF(OR(AX37="",AY37=""),"",AX37*AY37)</f>
        <v/>
      </c>
      <c r="BA37" s="8" t="str">
        <f aca="false">IF(AX37="","",AX37-N(AZ37)-N(BC37))</f>
        <v/>
      </c>
      <c r="BB37" s="8" t="str">
        <f aca="false">IF(AX37="","",BA37-N(AR37))</f>
        <v/>
      </c>
      <c r="BC37" s="8"/>
      <c r="BD37" s="8"/>
      <c r="BE37" s="8" t="str">
        <f aca="false">IF(AX37="","",AX37-N(BD37))</f>
        <v/>
      </c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8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8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 t="str">
        <f aca="false">IF(U38="","",ROUND(U38/2.54,1))</f>
        <v/>
      </c>
      <c r="Y38" s="10" t="str">
        <f aca="false">IF(V38="","",ROUND(V38/2.54,1))</f>
        <v/>
      </c>
      <c r="Z38" s="10" t="str">
        <f aca="false">IF(W38="","",ROUND(W38/2.54,1))</f>
        <v/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1"/>
      <c r="AO38" s="11"/>
      <c r="AP38" s="11"/>
      <c r="AQ38" s="11"/>
      <c r="AR38" s="11" t="str">
        <f aca="false">IF(COUNT(AN38,AO38,AP38,AQ38)=0,"",SUM(AN38:AQ38))</f>
        <v/>
      </c>
      <c r="AS38" s="10"/>
      <c r="AT38" s="10"/>
      <c r="AU38" s="11"/>
      <c r="AV38" s="11" t="str">
        <f aca="false">IF(OR(AU38="",U38="",V38=""),"",AU38/(U38*V38))</f>
        <v/>
      </c>
      <c r="AW38" s="12"/>
      <c r="AX38" s="11"/>
      <c r="AY38" s="12"/>
      <c r="AZ38" s="11" t="str">
        <f aca="false">IF(OR(AX38="",AY38=""),"",AX38*AY38)</f>
        <v/>
      </c>
      <c r="BA38" s="11" t="str">
        <f aca="false">IF(AX38="","",AX38-N(AZ38)-N(BC38))</f>
        <v/>
      </c>
      <c r="BB38" s="11" t="str">
        <f aca="false">IF(AX38="","",BA38-N(AR38))</f>
        <v/>
      </c>
      <c r="BC38" s="11"/>
      <c r="BD38" s="11"/>
      <c r="BE38" s="11" t="str">
        <f aca="false">IF(AX38="","",AX38-N(BD38))</f>
        <v/>
      </c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1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1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 t="str">
        <f aca="false">IF(U39="","",ROUND(U39/2.54,1))</f>
        <v/>
      </c>
      <c r="Y39" s="7" t="str">
        <f aca="false">IF(V39="","",ROUND(V39/2.54,1))</f>
        <v/>
      </c>
      <c r="Z39" s="7" t="str">
        <f aca="false">IF(W39="","",ROUND(W39/2.54,1))</f>
        <v/>
      </c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8"/>
      <c r="AO39" s="8"/>
      <c r="AP39" s="8"/>
      <c r="AQ39" s="8"/>
      <c r="AR39" s="8" t="str">
        <f aca="false">IF(COUNT(AN39,AO39,AP39,AQ39)=0,"",SUM(AN39:AQ39))</f>
        <v/>
      </c>
      <c r="AS39" s="7"/>
      <c r="AT39" s="7"/>
      <c r="AU39" s="8"/>
      <c r="AV39" s="8" t="str">
        <f aca="false">IF(OR(AU39="",U39="",V39=""),"",AU39/(U39*V39))</f>
        <v/>
      </c>
      <c r="AW39" s="9"/>
      <c r="AX39" s="8"/>
      <c r="AY39" s="9"/>
      <c r="AZ39" s="8" t="str">
        <f aca="false">IF(OR(AX39="",AY39=""),"",AX39*AY39)</f>
        <v/>
      </c>
      <c r="BA39" s="8" t="str">
        <f aca="false">IF(AX39="","",AX39-N(AZ39)-N(BC39))</f>
        <v/>
      </c>
      <c r="BB39" s="8" t="str">
        <f aca="false">IF(AX39="","",BA39-N(AR39))</f>
        <v/>
      </c>
      <c r="BC39" s="8"/>
      <c r="BD39" s="8"/>
      <c r="BE39" s="8" t="str">
        <f aca="false">IF(AX39="","",AX39-N(BD39))</f>
        <v/>
      </c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8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8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 t="str">
        <f aca="false">IF(U40="","",ROUND(U40/2.54,1))</f>
        <v/>
      </c>
      <c r="Y40" s="10" t="str">
        <f aca="false">IF(V40="","",ROUND(V40/2.54,1))</f>
        <v/>
      </c>
      <c r="Z40" s="10" t="str">
        <f aca="false">IF(W40="","",ROUND(W40/2.54,1))</f>
        <v/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1"/>
      <c r="AO40" s="11"/>
      <c r="AP40" s="11"/>
      <c r="AQ40" s="11"/>
      <c r="AR40" s="11" t="str">
        <f aca="false">IF(COUNT(AN40,AO40,AP40,AQ40)=0,"",SUM(AN40:AQ40))</f>
        <v/>
      </c>
      <c r="AS40" s="10"/>
      <c r="AT40" s="10"/>
      <c r="AU40" s="11"/>
      <c r="AV40" s="11" t="str">
        <f aca="false">IF(OR(AU40="",U40="",V40=""),"",AU40/(U40*V40))</f>
        <v/>
      </c>
      <c r="AW40" s="12"/>
      <c r="AX40" s="11"/>
      <c r="AY40" s="12"/>
      <c r="AZ40" s="11" t="str">
        <f aca="false">IF(OR(AX40="",AY40=""),"",AX40*AY40)</f>
        <v/>
      </c>
      <c r="BA40" s="11" t="str">
        <f aca="false">IF(AX40="","",AX40-N(AZ40)-N(BC40))</f>
        <v/>
      </c>
      <c r="BB40" s="11" t="str">
        <f aca="false">IF(AX40="","",BA40-N(AR40))</f>
        <v/>
      </c>
      <c r="BC40" s="11"/>
      <c r="BD40" s="11"/>
      <c r="BE40" s="11" t="str">
        <f aca="false">IF(AX40="","",AX40-N(BD40))</f>
        <v/>
      </c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1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1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 t="str">
        <f aca="false">IF(U41="","",ROUND(U41/2.54,1))</f>
        <v/>
      </c>
      <c r="Y41" s="7" t="str">
        <f aca="false">IF(V41="","",ROUND(V41/2.54,1))</f>
        <v/>
      </c>
      <c r="Z41" s="7" t="str">
        <f aca="false">IF(W41="","",ROUND(W41/2.54,1))</f>
        <v/>
      </c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8"/>
      <c r="AO41" s="8"/>
      <c r="AP41" s="8"/>
      <c r="AQ41" s="8"/>
      <c r="AR41" s="8" t="str">
        <f aca="false">IF(COUNT(AN41,AO41,AP41,AQ41)=0,"",SUM(AN41:AQ41))</f>
        <v/>
      </c>
      <c r="AS41" s="7"/>
      <c r="AT41" s="7"/>
      <c r="AU41" s="8"/>
      <c r="AV41" s="8" t="str">
        <f aca="false">IF(OR(AU41="",U41="",V41=""),"",AU41/(U41*V41))</f>
        <v/>
      </c>
      <c r="AW41" s="9"/>
      <c r="AX41" s="8"/>
      <c r="AY41" s="9"/>
      <c r="AZ41" s="8" t="str">
        <f aca="false">IF(OR(AX41="",AY41=""),"",AX41*AY41)</f>
        <v/>
      </c>
      <c r="BA41" s="8" t="str">
        <f aca="false">IF(AX41="","",AX41-N(AZ41)-N(BC41))</f>
        <v/>
      </c>
      <c r="BB41" s="8" t="str">
        <f aca="false">IF(AX41="","",BA41-N(AR41))</f>
        <v/>
      </c>
      <c r="BC41" s="8"/>
      <c r="BD41" s="8"/>
      <c r="BE41" s="8" t="str">
        <f aca="false">IF(AX41="","",AX41-N(BD41))</f>
        <v/>
      </c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8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8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 t="str">
        <f aca="false">IF(U42="","",ROUND(U42/2.54,1))</f>
        <v/>
      </c>
      <c r="Y42" s="10" t="str">
        <f aca="false">IF(V42="","",ROUND(V42/2.54,1))</f>
        <v/>
      </c>
      <c r="Z42" s="10" t="str">
        <f aca="false">IF(W42="","",ROUND(W42/2.54,1))</f>
        <v/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1"/>
      <c r="AO42" s="11"/>
      <c r="AP42" s="11"/>
      <c r="AQ42" s="11"/>
      <c r="AR42" s="11" t="str">
        <f aca="false">IF(COUNT(AN42,AO42,AP42,AQ42)=0,"",SUM(AN42:AQ42))</f>
        <v/>
      </c>
      <c r="AS42" s="10"/>
      <c r="AT42" s="10"/>
      <c r="AU42" s="11"/>
      <c r="AV42" s="11" t="str">
        <f aca="false">IF(OR(AU42="",U42="",V42=""),"",AU42/(U42*V42))</f>
        <v/>
      </c>
      <c r="AW42" s="12"/>
      <c r="AX42" s="11"/>
      <c r="AY42" s="12"/>
      <c r="AZ42" s="11" t="str">
        <f aca="false">IF(OR(AX42="",AY42=""),"",AX42*AY42)</f>
        <v/>
      </c>
      <c r="BA42" s="11" t="str">
        <f aca="false">IF(AX42="","",AX42-N(AZ42)-N(BC42))</f>
        <v/>
      </c>
      <c r="BB42" s="11" t="str">
        <f aca="false">IF(AX42="","",BA42-N(AR42))</f>
        <v/>
      </c>
      <c r="BC42" s="11"/>
      <c r="BD42" s="11"/>
      <c r="BE42" s="11" t="str">
        <f aca="false">IF(AX42="","",AX42-N(BD42))</f>
        <v/>
      </c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1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1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 t="str">
        <f aca="false">IF(U43="","",ROUND(U43/2.54,1))</f>
        <v/>
      </c>
      <c r="Y43" s="7" t="str">
        <f aca="false">IF(V43="","",ROUND(V43/2.54,1))</f>
        <v/>
      </c>
      <c r="Z43" s="7" t="str">
        <f aca="false">IF(W43="","",ROUND(W43/2.54,1))</f>
        <v/>
      </c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8"/>
      <c r="AO43" s="8"/>
      <c r="AP43" s="8"/>
      <c r="AQ43" s="8"/>
      <c r="AR43" s="8" t="str">
        <f aca="false">IF(COUNT(AN43,AO43,AP43,AQ43)=0,"",SUM(AN43:AQ43))</f>
        <v/>
      </c>
      <c r="AS43" s="7"/>
      <c r="AT43" s="7"/>
      <c r="AU43" s="8"/>
      <c r="AV43" s="8" t="str">
        <f aca="false">IF(OR(AU43="",U43="",V43=""),"",AU43/(U43*V43))</f>
        <v/>
      </c>
      <c r="AW43" s="9"/>
      <c r="AX43" s="8"/>
      <c r="AY43" s="9"/>
      <c r="AZ43" s="8" t="str">
        <f aca="false">IF(OR(AX43="",AY43=""),"",AX43*AY43)</f>
        <v/>
      </c>
      <c r="BA43" s="8" t="str">
        <f aca="false">IF(AX43="","",AX43-N(AZ43)-N(BC43))</f>
        <v/>
      </c>
      <c r="BB43" s="8" t="str">
        <f aca="false">IF(AX43="","",BA43-N(AR43))</f>
        <v/>
      </c>
      <c r="BC43" s="8"/>
      <c r="BD43" s="8"/>
      <c r="BE43" s="8" t="str">
        <f aca="false">IF(AX43="","",AX43-N(BD43))</f>
        <v/>
      </c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8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8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 t="str">
        <f aca="false">IF(U44="","",ROUND(U44/2.54,1))</f>
        <v/>
      </c>
      <c r="Y44" s="10" t="str">
        <f aca="false">IF(V44="","",ROUND(V44/2.54,1))</f>
        <v/>
      </c>
      <c r="Z44" s="10" t="str">
        <f aca="false">IF(W44="","",ROUND(W44/2.54,1))</f>
        <v/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1"/>
      <c r="AO44" s="11"/>
      <c r="AP44" s="11"/>
      <c r="AQ44" s="11"/>
      <c r="AR44" s="11" t="str">
        <f aca="false">IF(COUNT(AN44,AO44,AP44,AQ44)=0,"",SUM(AN44:AQ44))</f>
        <v/>
      </c>
      <c r="AS44" s="10"/>
      <c r="AT44" s="10"/>
      <c r="AU44" s="11"/>
      <c r="AV44" s="11" t="str">
        <f aca="false">IF(OR(AU44="",U44="",V44=""),"",AU44/(U44*V44))</f>
        <v/>
      </c>
      <c r="AW44" s="12"/>
      <c r="AX44" s="11"/>
      <c r="AY44" s="12"/>
      <c r="AZ44" s="11" t="str">
        <f aca="false">IF(OR(AX44="",AY44=""),"",AX44*AY44)</f>
        <v/>
      </c>
      <c r="BA44" s="11" t="str">
        <f aca="false">IF(AX44="","",AX44-N(AZ44)-N(BC44))</f>
        <v/>
      </c>
      <c r="BB44" s="11" t="str">
        <f aca="false">IF(AX44="","",BA44-N(AR44))</f>
        <v/>
      </c>
      <c r="BC44" s="11"/>
      <c r="BD44" s="11"/>
      <c r="BE44" s="11" t="str">
        <f aca="false">IF(AX44="","",AX44-N(BD44))</f>
        <v/>
      </c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1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1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 t="str">
        <f aca="false">IF(U45="","",ROUND(U45/2.54,1))</f>
        <v/>
      </c>
      <c r="Y45" s="7" t="str">
        <f aca="false">IF(V45="","",ROUND(V45/2.54,1))</f>
        <v/>
      </c>
      <c r="Z45" s="7" t="str">
        <f aca="false">IF(W45="","",ROUND(W45/2.54,1))</f>
        <v/>
      </c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8"/>
      <c r="AO45" s="8"/>
      <c r="AP45" s="8"/>
      <c r="AQ45" s="8"/>
      <c r="AR45" s="8" t="str">
        <f aca="false">IF(COUNT(AN45,AO45,AP45,AQ45)=0,"",SUM(AN45:AQ45))</f>
        <v/>
      </c>
      <c r="AS45" s="7"/>
      <c r="AT45" s="7"/>
      <c r="AU45" s="8"/>
      <c r="AV45" s="8" t="str">
        <f aca="false">IF(OR(AU45="",U45="",V45=""),"",AU45/(U45*V45))</f>
        <v/>
      </c>
      <c r="AW45" s="9"/>
      <c r="AX45" s="8"/>
      <c r="AY45" s="9"/>
      <c r="AZ45" s="8" t="str">
        <f aca="false">IF(OR(AX45="",AY45=""),"",AX45*AY45)</f>
        <v/>
      </c>
      <c r="BA45" s="8" t="str">
        <f aca="false">IF(AX45="","",AX45-N(AZ45)-N(BC45))</f>
        <v/>
      </c>
      <c r="BB45" s="8" t="str">
        <f aca="false">IF(AX45="","",BA45-N(AR45))</f>
        <v/>
      </c>
      <c r="BC45" s="8"/>
      <c r="BD45" s="8"/>
      <c r="BE45" s="8" t="str">
        <f aca="false">IF(AX45="","",AX45-N(BD45))</f>
        <v/>
      </c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8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8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 t="str">
        <f aca="false">IF(U46="","",ROUND(U46/2.54,1))</f>
        <v/>
      </c>
      <c r="Y46" s="10" t="str">
        <f aca="false">IF(V46="","",ROUND(V46/2.54,1))</f>
        <v/>
      </c>
      <c r="Z46" s="10" t="str">
        <f aca="false">IF(W46="","",ROUND(W46/2.54,1))</f>
        <v/>
      </c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1"/>
      <c r="AO46" s="11"/>
      <c r="AP46" s="11"/>
      <c r="AQ46" s="11"/>
      <c r="AR46" s="11" t="str">
        <f aca="false">IF(COUNT(AN46,AO46,AP46,AQ46)=0,"",SUM(AN46:AQ46))</f>
        <v/>
      </c>
      <c r="AS46" s="10"/>
      <c r="AT46" s="10"/>
      <c r="AU46" s="11"/>
      <c r="AV46" s="11" t="str">
        <f aca="false">IF(OR(AU46="",U46="",V46=""),"",AU46/(U46*V46))</f>
        <v/>
      </c>
      <c r="AW46" s="12"/>
      <c r="AX46" s="11"/>
      <c r="AY46" s="12"/>
      <c r="AZ46" s="11" t="str">
        <f aca="false">IF(OR(AX46="",AY46=""),"",AX46*AY46)</f>
        <v/>
      </c>
      <c r="BA46" s="11" t="str">
        <f aca="false">IF(AX46="","",AX46-N(AZ46)-N(BC46))</f>
        <v/>
      </c>
      <c r="BB46" s="11" t="str">
        <f aca="false">IF(AX46="","",BA46-N(AR46))</f>
        <v/>
      </c>
      <c r="BC46" s="11"/>
      <c r="BD46" s="11"/>
      <c r="BE46" s="11" t="str">
        <f aca="false">IF(AX46="","",AX46-N(BD46))</f>
        <v/>
      </c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1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1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 t="str">
        <f aca="false">IF(U47="","",ROUND(U47/2.54,1))</f>
        <v/>
      </c>
      <c r="Y47" s="7" t="str">
        <f aca="false">IF(V47="","",ROUND(V47/2.54,1))</f>
        <v/>
      </c>
      <c r="Z47" s="7" t="str">
        <f aca="false">IF(W47="","",ROUND(W47/2.54,1))</f>
        <v/>
      </c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8"/>
      <c r="AO47" s="8"/>
      <c r="AP47" s="8"/>
      <c r="AQ47" s="8"/>
      <c r="AR47" s="8" t="str">
        <f aca="false">IF(COUNT(AN47,AO47,AP47,AQ47)=0,"",SUM(AN47:AQ47))</f>
        <v/>
      </c>
      <c r="AS47" s="7"/>
      <c r="AT47" s="7"/>
      <c r="AU47" s="8"/>
      <c r="AV47" s="8" t="str">
        <f aca="false">IF(OR(AU47="",U47="",V47=""),"",AU47/(U47*V47))</f>
        <v/>
      </c>
      <c r="AW47" s="9"/>
      <c r="AX47" s="8"/>
      <c r="AY47" s="9"/>
      <c r="AZ47" s="8" t="str">
        <f aca="false">IF(OR(AX47="",AY47=""),"",AX47*AY47)</f>
        <v/>
      </c>
      <c r="BA47" s="8" t="str">
        <f aca="false">IF(AX47="","",AX47-N(AZ47)-N(BC47))</f>
        <v/>
      </c>
      <c r="BB47" s="8" t="str">
        <f aca="false">IF(AX47="","",BA47-N(AR47))</f>
        <v/>
      </c>
      <c r="BC47" s="8"/>
      <c r="BD47" s="8"/>
      <c r="BE47" s="8" t="str">
        <f aca="false">IF(AX47="","",AX47-N(BD47))</f>
        <v/>
      </c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8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8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 t="str">
        <f aca="false">IF(U48="","",ROUND(U48/2.54,1))</f>
        <v/>
      </c>
      <c r="Y48" s="10" t="str">
        <f aca="false">IF(V48="","",ROUND(V48/2.54,1))</f>
        <v/>
      </c>
      <c r="Z48" s="10" t="str">
        <f aca="false">IF(W48="","",ROUND(W48/2.54,1))</f>
        <v/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1"/>
      <c r="AO48" s="11"/>
      <c r="AP48" s="11"/>
      <c r="AQ48" s="11"/>
      <c r="AR48" s="11" t="str">
        <f aca="false">IF(COUNT(AN48,AO48,AP48,AQ48)=0,"",SUM(AN48:AQ48))</f>
        <v/>
      </c>
      <c r="AS48" s="10"/>
      <c r="AT48" s="10"/>
      <c r="AU48" s="11"/>
      <c r="AV48" s="11" t="str">
        <f aca="false">IF(OR(AU48="",U48="",V48=""),"",AU48/(U48*V48))</f>
        <v/>
      </c>
      <c r="AW48" s="12"/>
      <c r="AX48" s="11"/>
      <c r="AY48" s="12"/>
      <c r="AZ48" s="11" t="str">
        <f aca="false">IF(OR(AX48="",AY48=""),"",AX48*AY48)</f>
        <v/>
      </c>
      <c r="BA48" s="11" t="str">
        <f aca="false">IF(AX48="","",AX48-N(AZ48)-N(BC48))</f>
        <v/>
      </c>
      <c r="BB48" s="11" t="str">
        <f aca="false">IF(AX48="","",BA48-N(AR48))</f>
        <v/>
      </c>
      <c r="BC48" s="11"/>
      <c r="BD48" s="11"/>
      <c r="BE48" s="11" t="str">
        <f aca="false">IF(AX48="","",AX48-N(BD48))</f>
        <v/>
      </c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1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1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 t="str">
        <f aca="false">IF(U49="","",ROUND(U49/2.54,1))</f>
        <v/>
      </c>
      <c r="Y49" s="7" t="str">
        <f aca="false">IF(V49="","",ROUND(V49/2.54,1))</f>
        <v/>
      </c>
      <c r="Z49" s="7" t="str">
        <f aca="false">IF(W49="","",ROUND(W49/2.54,1))</f>
        <v/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8"/>
      <c r="AO49" s="8"/>
      <c r="AP49" s="8"/>
      <c r="AQ49" s="8"/>
      <c r="AR49" s="8" t="str">
        <f aca="false">IF(COUNT(AN49,AO49,AP49,AQ49)=0,"",SUM(AN49:AQ49))</f>
        <v/>
      </c>
      <c r="AS49" s="7"/>
      <c r="AT49" s="7"/>
      <c r="AU49" s="8"/>
      <c r="AV49" s="8" t="str">
        <f aca="false">IF(OR(AU49="",U49="",V49=""),"",AU49/(U49*V49))</f>
        <v/>
      </c>
      <c r="AW49" s="9"/>
      <c r="AX49" s="8"/>
      <c r="AY49" s="9"/>
      <c r="AZ49" s="8" t="str">
        <f aca="false">IF(OR(AX49="",AY49=""),"",AX49*AY49)</f>
        <v/>
      </c>
      <c r="BA49" s="8" t="str">
        <f aca="false">IF(AX49="","",AX49-N(AZ49)-N(BC49))</f>
        <v/>
      </c>
      <c r="BB49" s="8" t="str">
        <f aca="false">IF(AX49="","",BA49-N(AR49))</f>
        <v/>
      </c>
      <c r="BC49" s="8"/>
      <c r="BD49" s="8"/>
      <c r="BE49" s="8" t="str">
        <f aca="false">IF(AX49="","",AX49-N(BD49))</f>
        <v/>
      </c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8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8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 t="str">
        <f aca="false">IF(U50="","",ROUND(U50/2.54,1))</f>
        <v/>
      </c>
      <c r="Y50" s="10" t="str">
        <f aca="false">IF(V50="","",ROUND(V50/2.54,1))</f>
        <v/>
      </c>
      <c r="Z50" s="10" t="str">
        <f aca="false">IF(W50="","",ROUND(W50/2.54,1))</f>
        <v/>
      </c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1"/>
      <c r="AO50" s="11"/>
      <c r="AP50" s="11"/>
      <c r="AQ50" s="11"/>
      <c r="AR50" s="11" t="str">
        <f aca="false">IF(COUNT(AN50,AO50,AP50,AQ50)=0,"",SUM(AN50:AQ50))</f>
        <v/>
      </c>
      <c r="AS50" s="10"/>
      <c r="AT50" s="10"/>
      <c r="AU50" s="11"/>
      <c r="AV50" s="11" t="str">
        <f aca="false">IF(OR(AU50="",U50="",V50=""),"",AU50/(U50*V50))</f>
        <v/>
      </c>
      <c r="AW50" s="12"/>
      <c r="AX50" s="11"/>
      <c r="AY50" s="12"/>
      <c r="AZ50" s="11" t="str">
        <f aca="false">IF(OR(AX50="",AY50=""),"",AX50*AY50)</f>
        <v/>
      </c>
      <c r="BA50" s="11" t="str">
        <f aca="false">IF(AX50="","",AX50-N(AZ50)-N(BC50))</f>
        <v/>
      </c>
      <c r="BB50" s="11" t="str">
        <f aca="false">IF(AX50="","",BA50-N(AR50))</f>
        <v/>
      </c>
      <c r="BC50" s="11"/>
      <c r="BD50" s="11"/>
      <c r="BE50" s="11" t="str">
        <f aca="false">IF(AX50="","",AX50-N(BD50))</f>
        <v/>
      </c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1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1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 t="str">
        <f aca="false">IF(U51="","",ROUND(U51/2.54,1))</f>
        <v/>
      </c>
      <c r="Y51" s="7" t="str">
        <f aca="false">IF(V51="","",ROUND(V51/2.54,1))</f>
        <v/>
      </c>
      <c r="Z51" s="7" t="str">
        <f aca="false">IF(W51="","",ROUND(W51/2.54,1))</f>
        <v/>
      </c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8"/>
      <c r="AO51" s="8"/>
      <c r="AP51" s="8"/>
      <c r="AQ51" s="8"/>
      <c r="AR51" s="8" t="str">
        <f aca="false">IF(COUNT(AN51,AO51,AP51,AQ51)=0,"",SUM(AN51:AQ51))</f>
        <v/>
      </c>
      <c r="AS51" s="7"/>
      <c r="AT51" s="7"/>
      <c r="AU51" s="8"/>
      <c r="AV51" s="8" t="str">
        <f aca="false">IF(OR(AU51="",U51="",V51=""),"",AU51/(U51*V51))</f>
        <v/>
      </c>
      <c r="AW51" s="9"/>
      <c r="AX51" s="8"/>
      <c r="AY51" s="9"/>
      <c r="AZ51" s="8" t="str">
        <f aca="false">IF(OR(AX51="",AY51=""),"",AX51*AY51)</f>
        <v/>
      </c>
      <c r="BA51" s="8" t="str">
        <f aca="false">IF(AX51="","",AX51-N(AZ51)-N(BC51))</f>
        <v/>
      </c>
      <c r="BB51" s="8" t="str">
        <f aca="false">IF(AX51="","",BA51-N(AR51))</f>
        <v/>
      </c>
      <c r="BC51" s="8"/>
      <c r="BD51" s="8"/>
      <c r="BE51" s="8" t="str">
        <f aca="false">IF(AX51="","",AX51-N(BD51))</f>
        <v/>
      </c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8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8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 t="str">
        <f aca="false">IF(U52="","",ROUND(U52/2.54,1))</f>
        <v/>
      </c>
      <c r="Y52" s="10" t="str">
        <f aca="false">IF(V52="","",ROUND(V52/2.54,1))</f>
        <v/>
      </c>
      <c r="Z52" s="10" t="str">
        <f aca="false">IF(W52="","",ROUND(W52/2.54,1))</f>
        <v/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1"/>
      <c r="AO52" s="11"/>
      <c r="AP52" s="11"/>
      <c r="AQ52" s="11"/>
      <c r="AR52" s="11" t="str">
        <f aca="false">IF(COUNT(AN52,AO52,AP52,AQ52)=0,"",SUM(AN52:AQ52))</f>
        <v/>
      </c>
      <c r="AS52" s="10"/>
      <c r="AT52" s="10"/>
      <c r="AU52" s="11"/>
      <c r="AV52" s="11" t="str">
        <f aca="false">IF(OR(AU52="",U52="",V52=""),"",AU52/(U52*V52))</f>
        <v/>
      </c>
      <c r="AW52" s="12"/>
      <c r="AX52" s="11"/>
      <c r="AY52" s="12"/>
      <c r="AZ52" s="11" t="str">
        <f aca="false">IF(OR(AX52="",AY52=""),"",AX52*AY52)</f>
        <v/>
      </c>
      <c r="BA52" s="11" t="str">
        <f aca="false">IF(AX52="","",AX52-N(AZ52)-N(BC52))</f>
        <v/>
      </c>
      <c r="BB52" s="11" t="str">
        <f aca="false">IF(AX52="","",BA52-N(AR52))</f>
        <v/>
      </c>
      <c r="BC52" s="11"/>
      <c r="BD52" s="11"/>
      <c r="BE52" s="11" t="str">
        <f aca="false">IF(AX52="","",AX52-N(BD52))</f>
        <v/>
      </c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1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1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 t="str">
        <f aca="false">IF(U53="","",ROUND(U53/2.54,1))</f>
        <v/>
      </c>
      <c r="Y53" s="7" t="str">
        <f aca="false">IF(V53="","",ROUND(V53/2.54,1))</f>
        <v/>
      </c>
      <c r="Z53" s="7" t="str">
        <f aca="false">IF(W53="","",ROUND(W53/2.54,1))</f>
        <v/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8"/>
      <c r="AO53" s="8"/>
      <c r="AP53" s="8"/>
      <c r="AQ53" s="8"/>
      <c r="AR53" s="8" t="str">
        <f aca="false">IF(COUNT(AN53,AO53,AP53,AQ53)=0,"",SUM(AN53:AQ53))</f>
        <v/>
      </c>
      <c r="AS53" s="7"/>
      <c r="AT53" s="7"/>
      <c r="AU53" s="8"/>
      <c r="AV53" s="8" t="str">
        <f aca="false">IF(OR(AU53="",U53="",V53=""),"",AU53/(U53*V53))</f>
        <v/>
      </c>
      <c r="AW53" s="9"/>
      <c r="AX53" s="8"/>
      <c r="AY53" s="9"/>
      <c r="AZ53" s="8" t="str">
        <f aca="false">IF(OR(AX53="",AY53=""),"",AX53*AY53)</f>
        <v/>
      </c>
      <c r="BA53" s="8" t="str">
        <f aca="false">IF(AX53="","",AX53-N(AZ53)-N(BC53))</f>
        <v/>
      </c>
      <c r="BB53" s="8" t="str">
        <f aca="false">IF(AX53="","",BA53-N(AR53))</f>
        <v/>
      </c>
      <c r="BC53" s="8"/>
      <c r="BD53" s="8"/>
      <c r="BE53" s="8" t="str">
        <f aca="false">IF(AX53="","",AX53-N(BD53))</f>
        <v/>
      </c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8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8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 t="str">
        <f aca="false">IF(U54="","",ROUND(U54/2.54,1))</f>
        <v/>
      </c>
      <c r="Y54" s="10" t="str">
        <f aca="false">IF(V54="","",ROUND(V54/2.54,1))</f>
        <v/>
      </c>
      <c r="Z54" s="10" t="str">
        <f aca="false">IF(W54="","",ROUND(W54/2.54,1))</f>
        <v/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1"/>
      <c r="AO54" s="11"/>
      <c r="AP54" s="11"/>
      <c r="AQ54" s="11"/>
      <c r="AR54" s="11" t="str">
        <f aca="false">IF(COUNT(AN54,AO54,AP54,AQ54)=0,"",SUM(AN54:AQ54))</f>
        <v/>
      </c>
      <c r="AS54" s="10"/>
      <c r="AT54" s="10"/>
      <c r="AU54" s="11"/>
      <c r="AV54" s="11" t="str">
        <f aca="false">IF(OR(AU54="",U54="",V54=""),"",AU54/(U54*V54))</f>
        <v/>
      </c>
      <c r="AW54" s="12"/>
      <c r="AX54" s="11"/>
      <c r="AY54" s="12"/>
      <c r="AZ54" s="11" t="str">
        <f aca="false">IF(OR(AX54="",AY54=""),"",AX54*AY54)</f>
        <v/>
      </c>
      <c r="BA54" s="11" t="str">
        <f aca="false">IF(AX54="","",AX54-N(AZ54)-N(BC54))</f>
        <v/>
      </c>
      <c r="BB54" s="11" t="str">
        <f aca="false">IF(AX54="","",BA54-N(AR54))</f>
        <v/>
      </c>
      <c r="BC54" s="11"/>
      <c r="BD54" s="11"/>
      <c r="BE54" s="11" t="str">
        <f aca="false">IF(AX54="","",AX54-N(BD54))</f>
        <v/>
      </c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1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1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 t="str">
        <f aca="false">IF(U55="","",ROUND(U55/2.54,1))</f>
        <v/>
      </c>
      <c r="Y55" s="7" t="str">
        <f aca="false">IF(V55="","",ROUND(V55/2.54,1))</f>
        <v/>
      </c>
      <c r="Z55" s="7" t="str">
        <f aca="false">IF(W55="","",ROUND(W55/2.54,1))</f>
        <v/>
      </c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8"/>
      <c r="AO55" s="8"/>
      <c r="AP55" s="8"/>
      <c r="AQ55" s="8"/>
      <c r="AR55" s="8" t="str">
        <f aca="false">IF(COUNT(AN55,AO55,AP55,AQ55)=0,"",SUM(AN55:AQ55))</f>
        <v/>
      </c>
      <c r="AS55" s="7"/>
      <c r="AT55" s="7"/>
      <c r="AU55" s="8"/>
      <c r="AV55" s="8" t="str">
        <f aca="false">IF(OR(AU55="",U55="",V55=""),"",AU55/(U55*V55))</f>
        <v/>
      </c>
      <c r="AW55" s="9"/>
      <c r="AX55" s="8"/>
      <c r="AY55" s="9"/>
      <c r="AZ55" s="8" t="str">
        <f aca="false">IF(OR(AX55="",AY55=""),"",AX55*AY55)</f>
        <v/>
      </c>
      <c r="BA55" s="8" t="str">
        <f aca="false">IF(AX55="","",AX55-N(AZ55)-N(BC55))</f>
        <v/>
      </c>
      <c r="BB55" s="8" t="str">
        <f aca="false">IF(AX55="","",BA55-N(AR55))</f>
        <v/>
      </c>
      <c r="BC55" s="8"/>
      <c r="BD55" s="8"/>
      <c r="BE55" s="8" t="str">
        <f aca="false">IF(AX55="","",AX55-N(BD55))</f>
        <v/>
      </c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8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8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 t="str">
        <f aca="false">IF(U56="","",ROUND(U56/2.54,1))</f>
        <v/>
      </c>
      <c r="Y56" s="10" t="str">
        <f aca="false">IF(V56="","",ROUND(V56/2.54,1))</f>
        <v/>
      </c>
      <c r="Z56" s="10" t="str">
        <f aca="false">IF(W56="","",ROUND(W56/2.54,1))</f>
        <v/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1"/>
      <c r="AO56" s="11"/>
      <c r="AP56" s="11"/>
      <c r="AQ56" s="11"/>
      <c r="AR56" s="11" t="str">
        <f aca="false">IF(COUNT(AN56,AO56,AP56,AQ56)=0,"",SUM(AN56:AQ56))</f>
        <v/>
      </c>
      <c r="AS56" s="10"/>
      <c r="AT56" s="10"/>
      <c r="AU56" s="11"/>
      <c r="AV56" s="11" t="str">
        <f aca="false">IF(OR(AU56="",U56="",V56=""),"",AU56/(U56*V56))</f>
        <v/>
      </c>
      <c r="AW56" s="12"/>
      <c r="AX56" s="11"/>
      <c r="AY56" s="12"/>
      <c r="AZ56" s="11" t="str">
        <f aca="false">IF(OR(AX56="",AY56=""),"",AX56*AY56)</f>
        <v/>
      </c>
      <c r="BA56" s="11" t="str">
        <f aca="false">IF(AX56="","",AX56-N(AZ56)-N(BC56))</f>
        <v/>
      </c>
      <c r="BB56" s="11" t="str">
        <f aca="false">IF(AX56="","",BA56-N(AR56))</f>
        <v/>
      </c>
      <c r="BC56" s="11"/>
      <c r="BD56" s="11"/>
      <c r="BE56" s="11" t="str">
        <f aca="false">IF(AX56="","",AX56-N(BD56))</f>
        <v/>
      </c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1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1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 t="str">
        <f aca="false">IF(U57="","",ROUND(U57/2.54,1))</f>
        <v/>
      </c>
      <c r="Y57" s="7" t="str">
        <f aca="false">IF(V57="","",ROUND(V57/2.54,1))</f>
        <v/>
      </c>
      <c r="Z57" s="7" t="str">
        <f aca="false">IF(W57="","",ROUND(W57/2.54,1))</f>
        <v/>
      </c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8"/>
      <c r="AO57" s="8"/>
      <c r="AP57" s="8"/>
      <c r="AQ57" s="8"/>
      <c r="AR57" s="8" t="str">
        <f aca="false">IF(COUNT(AN57,AO57,AP57,AQ57)=0,"",SUM(AN57:AQ57))</f>
        <v/>
      </c>
      <c r="AS57" s="7"/>
      <c r="AT57" s="7"/>
      <c r="AU57" s="8"/>
      <c r="AV57" s="8" t="str">
        <f aca="false">IF(OR(AU57="",U57="",V57=""),"",AU57/(U57*V57))</f>
        <v/>
      </c>
      <c r="AW57" s="9"/>
      <c r="AX57" s="8"/>
      <c r="AY57" s="9"/>
      <c r="AZ57" s="8" t="str">
        <f aca="false">IF(OR(AX57="",AY57=""),"",AX57*AY57)</f>
        <v/>
      </c>
      <c r="BA57" s="8" t="str">
        <f aca="false">IF(AX57="","",AX57-N(AZ57)-N(BC57))</f>
        <v/>
      </c>
      <c r="BB57" s="8" t="str">
        <f aca="false">IF(AX57="","",BA57-N(AR57))</f>
        <v/>
      </c>
      <c r="BC57" s="8"/>
      <c r="BD57" s="8"/>
      <c r="BE57" s="8" t="str">
        <f aca="false">IF(AX57="","",AX57-N(BD57))</f>
        <v/>
      </c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8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8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 t="str">
        <f aca="false">IF(U58="","",ROUND(U58/2.54,1))</f>
        <v/>
      </c>
      <c r="Y58" s="10" t="str">
        <f aca="false">IF(V58="","",ROUND(V58/2.54,1))</f>
        <v/>
      </c>
      <c r="Z58" s="10" t="str">
        <f aca="false">IF(W58="","",ROUND(W58/2.54,1))</f>
        <v/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1"/>
      <c r="AO58" s="11"/>
      <c r="AP58" s="11"/>
      <c r="AQ58" s="11"/>
      <c r="AR58" s="11" t="str">
        <f aca="false">IF(COUNT(AN58,AO58,AP58,AQ58)=0,"",SUM(AN58:AQ58))</f>
        <v/>
      </c>
      <c r="AS58" s="10"/>
      <c r="AT58" s="10"/>
      <c r="AU58" s="11"/>
      <c r="AV58" s="11" t="str">
        <f aca="false">IF(OR(AU58="",U58="",V58=""),"",AU58/(U58*V58))</f>
        <v/>
      </c>
      <c r="AW58" s="12"/>
      <c r="AX58" s="11"/>
      <c r="AY58" s="12"/>
      <c r="AZ58" s="11" t="str">
        <f aca="false">IF(OR(AX58="",AY58=""),"",AX58*AY58)</f>
        <v/>
      </c>
      <c r="BA58" s="11" t="str">
        <f aca="false">IF(AX58="","",AX58-N(AZ58)-N(BC58))</f>
        <v/>
      </c>
      <c r="BB58" s="11" t="str">
        <f aca="false">IF(AX58="","",BA58-N(AR58))</f>
        <v/>
      </c>
      <c r="BC58" s="11"/>
      <c r="BD58" s="11"/>
      <c r="BE58" s="11" t="str">
        <f aca="false">IF(AX58="","",AX58-N(BD58))</f>
        <v/>
      </c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1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1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 t="str">
        <f aca="false">IF(U59="","",ROUND(U59/2.54,1))</f>
        <v/>
      </c>
      <c r="Y59" s="7" t="str">
        <f aca="false">IF(V59="","",ROUND(V59/2.54,1))</f>
        <v/>
      </c>
      <c r="Z59" s="7" t="str">
        <f aca="false">IF(W59="","",ROUND(W59/2.54,1))</f>
        <v/>
      </c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8"/>
      <c r="AO59" s="8"/>
      <c r="AP59" s="8"/>
      <c r="AQ59" s="8"/>
      <c r="AR59" s="8" t="str">
        <f aca="false">IF(COUNT(AN59,AO59,AP59,AQ59)=0,"",SUM(AN59:AQ59))</f>
        <v/>
      </c>
      <c r="AS59" s="7"/>
      <c r="AT59" s="7"/>
      <c r="AU59" s="8"/>
      <c r="AV59" s="8" t="str">
        <f aca="false">IF(OR(AU59="",U59="",V59=""),"",AU59/(U59*V59))</f>
        <v/>
      </c>
      <c r="AW59" s="9"/>
      <c r="AX59" s="8"/>
      <c r="AY59" s="9"/>
      <c r="AZ59" s="8" t="str">
        <f aca="false">IF(OR(AX59="",AY59=""),"",AX59*AY59)</f>
        <v/>
      </c>
      <c r="BA59" s="8" t="str">
        <f aca="false">IF(AX59="","",AX59-N(AZ59)-N(BC59))</f>
        <v/>
      </c>
      <c r="BB59" s="8" t="str">
        <f aca="false">IF(AX59="","",BA59-N(AR59))</f>
        <v/>
      </c>
      <c r="BC59" s="8"/>
      <c r="BD59" s="8"/>
      <c r="BE59" s="8" t="str">
        <f aca="false">IF(AX59="","",AX59-N(BD59))</f>
        <v/>
      </c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8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8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 t="str">
        <f aca="false">IF(U60="","",ROUND(U60/2.54,1))</f>
        <v/>
      </c>
      <c r="Y60" s="10" t="str">
        <f aca="false">IF(V60="","",ROUND(V60/2.54,1))</f>
        <v/>
      </c>
      <c r="Z60" s="10" t="str">
        <f aca="false">IF(W60="","",ROUND(W60/2.54,1))</f>
        <v/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1"/>
      <c r="AO60" s="11"/>
      <c r="AP60" s="11"/>
      <c r="AQ60" s="11"/>
      <c r="AR60" s="11" t="str">
        <f aca="false">IF(COUNT(AN60,AO60,AP60,AQ60)=0,"",SUM(AN60:AQ60))</f>
        <v/>
      </c>
      <c r="AS60" s="10"/>
      <c r="AT60" s="10"/>
      <c r="AU60" s="11"/>
      <c r="AV60" s="11" t="str">
        <f aca="false">IF(OR(AU60="",U60="",V60=""),"",AU60/(U60*V60))</f>
        <v/>
      </c>
      <c r="AW60" s="12"/>
      <c r="AX60" s="11"/>
      <c r="AY60" s="12"/>
      <c r="AZ60" s="11" t="str">
        <f aca="false">IF(OR(AX60="",AY60=""),"",AX60*AY60)</f>
        <v/>
      </c>
      <c r="BA60" s="11" t="str">
        <f aca="false">IF(AX60="","",AX60-N(AZ60)-N(BC60))</f>
        <v/>
      </c>
      <c r="BB60" s="11" t="str">
        <f aca="false">IF(AX60="","",BA60-N(AR60))</f>
        <v/>
      </c>
      <c r="BC60" s="11"/>
      <c r="BD60" s="11"/>
      <c r="BE60" s="11" t="str">
        <f aca="false">IF(AX60="","",AX60-N(BD60))</f>
        <v/>
      </c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1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1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 t="str">
        <f aca="false">IF(U61="","",ROUND(U61/2.54,1))</f>
        <v/>
      </c>
      <c r="Y61" s="7" t="str">
        <f aca="false">IF(V61="","",ROUND(V61/2.54,1))</f>
        <v/>
      </c>
      <c r="Z61" s="7" t="str">
        <f aca="false">IF(W61="","",ROUND(W61/2.54,1))</f>
        <v/>
      </c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8"/>
      <c r="AO61" s="8"/>
      <c r="AP61" s="8"/>
      <c r="AQ61" s="8"/>
      <c r="AR61" s="8" t="str">
        <f aca="false">IF(COUNT(AN61,AO61,AP61,AQ61)=0,"",SUM(AN61:AQ61))</f>
        <v/>
      </c>
      <c r="AS61" s="7"/>
      <c r="AT61" s="7"/>
      <c r="AU61" s="8"/>
      <c r="AV61" s="8" t="str">
        <f aca="false">IF(OR(AU61="",U61="",V61=""),"",AU61/(U61*V61))</f>
        <v/>
      </c>
      <c r="AW61" s="9"/>
      <c r="AX61" s="8"/>
      <c r="AY61" s="9"/>
      <c r="AZ61" s="8" t="str">
        <f aca="false">IF(OR(AX61="",AY61=""),"",AX61*AY61)</f>
        <v/>
      </c>
      <c r="BA61" s="8" t="str">
        <f aca="false">IF(AX61="","",AX61-N(AZ61)-N(BC61))</f>
        <v/>
      </c>
      <c r="BB61" s="8" t="str">
        <f aca="false">IF(AX61="","",BA61-N(AR61))</f>
        <v/>
      </c>
      <c r="BC61" s="8"/>
      <c r="BD61" s="8"/>
      <c r="BE61" s="8" t="str">
        <f aca="false">IF(AX61="","",AX61-N(BD61))</f>
        <v/>
      </c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8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8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 t="str">
        <f aca="false">IF(U62="","",ROUND(U62/2.54,1))</f>
        <v/>
      </c>
      <c r="Y62" s="10" t="str">
        <f aca="false">IF(V62="","",ROUND(V62/2.54,1))</f>
        <v/>
      </c>
      <c r="Z62" s="10" t="str">
        <f aca="false">IF(W62="","",ROUND(W62/2.54,1))</f>
        <v/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1"/>
      <c r="AO62" s="11"/>
      <c r="AP62" s="11"/>
      <c r="AQ62" s="11"/>
      <c r="AR62" s="11" t="str">
        <f aca="false">IF(COUNT(AN62,AO62,AP62,AQ62)=0,"",SUM(AN62:AQ62))</f>
        <v/>
      </c>
      <c r="AS62" s="10"/>
      <c r="AT62" s="10"/>
      <c r="AU62" s="11"/>
      <c r="AV62" s="11" t="str">
        <f aca="false">IF(OR(AU62="",U62="",V62=""),"",AU62/(U62*V62))</f>
        <v/>
      </c>
      <c r="AW62" s="12"/>
      <c r="AX62" s="11"/>
      <c r="AY62" s="12"/>
      <c r="AZ62" s="11" t="str">
        <f aca="false">IF(OR(AX62="",AY62=""),"",AX62*AY62)</f>
        <v/>
      </c>
      <c r="BA62" s="11" t="str">
        <f aca="false">IF(AX62="","",AX62-N(AZ62)-N(BC62))</f>
        <v/>
      </c>
      <c r="BB62" s="11" t="str">
        <f aca="false">IF(AX62="","",BA62-N(AR62))</f>
        <v/>
      </c>
      <c r="BC62" s="11"/>
      <c r="BD62" s="11"/>
      <c r="BE62" s="11" t="str">
        <f aca="false">IF(AX62="","",AX62-N(BD62))</f>
        <v/>
      </c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1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1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 t="str">
        <f aca="false">IF(U63="","",ROUND(U63/2.54,1))</f>
        <v/>
      </c>
      <c r="Y63" s="7" t="str">
        <f aca="false">IF(V63="","",ROUND(V63/2.54,1))</f>
        <v/>
      </c>
      <c r="Z63" s="7" t="str">
        <f aca="false">IF(W63="","",ROUND(W63/2.54,1))</f>
        <v/>
      </c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8"/>
      <c r="AO63" s="8"/>
      <c r="AP63" s="8"/>
      <c r="AQ63" s="8"/>
      <c r="AR63" s="8" t="str">
        <f aca="false">IF(COUNT(AN63,AO63,AP63,AQ63)=0,"",SUM(AN63:AQ63))</f>
        <v/>
      </c>
      <c r="AS63" s="7"/>
      <c r="AT63" s="7"/>
      <c r="AU63" s="8"/>
      <c r="AV63" s="8" t="str">
        <f aca="false">IF(OR(AU63="",U63="",V63=""),"",AU63/(U63*V63))</f>
        <v/>
      </c>
      <c r="AW63" s="9"/>
      <c r="AX63" s="8"/>
      <c r="AY63" s="9"/>
      <c r="AZ63" s="8" t="str">
        <f aca="false">IF(OR(AX63="",AY63=""),"",AX63*AY63)</f>
        <v/>
      </c>
      <c r="BA63" s="8" t="str">
        <f aca="false">IF(AX63="","",AX63-N(AZ63)-N(BC63))</f>
        <v/>
      </c>
      <c r="BB63" s="8" t="str">
        <f aca="false">IF(AX63="","",BA63-N(AR63))</f>
        <v/>
      </c>
      <c r="BC63" s="8"/>
      <c r="BD63" s="8"/>
      <c r="BE63" s="8" t="str">
        <f aca="false">IF(AX63="","",AX63-N(BD63))</f>
        <v/>
      </c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8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8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 t="str">
        <f aca="false">IF(U64="","",ROUND(U64/2.54,1))</f>
        <v/>
      </c>
      <c r="Y64" s="10" t="str">
        <f aca="false">IF(V64="","",ROUND(V64/2.54,1))</f>
        <v/>
      </c>
      <c r="Z64" s="10" t="str">
        <f aca="false">IF(W64="","",ROUND(W64/2.54,1))</f>
        <v/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1"/>
      <c r="AO64" s="11"/>
      <c r="AP64" s="11"/>
      <c r="AQ64" s="11"/>
      <c r="AR64" s="11" t="str">
        <f aca="false">IF(COUNT(AN64,AO64,AP64,AQ64)=0,"",SUM(AN64:AQ64))</f>
        <v/>
      </c>
      <c r="AS64" s="10"/>
      <c r="AT64" s="10"/>
      <c r="AU64" s="11"/>
      <c r="AV64" s="11" t="str">
        <f aca="false">IF(OR(AU64="",U64="",V64=""),"",AU64/(U64*V64))</f>
        <v/>
      </c>
      <c r="AW64" s="12"/>
      <c r="AX64" s="11"/>
      <c r="AY64" s="12"/>
      <c r="AZ64" s="11" t="str">
        <f aca="false">IF(OR(AX64="",AY64=""),"",AX64*AY64)</f>
        <v/>
      </c>
      <c r="BA64" s="11" t="str">
        <f aca="false">IF(AX64="","",AX64-N(AZ64)-N(BC64))</f>
        <v/>
      </c>
      <c r="BB64" s="11" t="str">
        <f aca="false">IF(AX64="","",BA64-N(AR64))</f>
        <v/>
      </c>
      <c r="BC64" s="11"/>
      <c r="BD64" s="11"/>
      <c r="BE64" s="11" t="str">
        <f aca="false">IF(AX64="","",AX64-N(BD64))</f>
        <v/>
      </c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1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1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 t="str">
        <f aca="false">IF(U65="","",ROUND(U65/2.54,1))</f>
        <v/>
      </c>
      <c r="Y65" s="7" t="str">
        <f aca="false">IF(V65="","",ROUND(V65/2.54,1))</f>
        <v/>
      </c>
      <c r="Z65" s="7" t="str">
        <f aca="false">IF(W65="","",ROUND(W65/2.54,1))</f>
        <v/>
      </c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8"/>
      <c r="AO65" s="8"/>
      <c r="AP65" s="8"/>
      <c r="AQ65" s="8"/>
      <c r="AR65" s="8" t="str">
        <f aca="false">IF(COUNT(AN65,AO65,AP65,AQ65)=0,"",SUM(AN65:AQ65))</f>
        <v/>
      </c>
      <c r="AS65" s="7"/>
      <c r="AT65" s="7"/>
      <c r="AU65" s="8"/>
      <c r="AV65" s="8" t="str">
        <f aca="false">IF(OR(AU65="",U65="",V65=""),"",AU65/(U65*V65))</f>
        <v/>
      </c>
      <c r="AW65" s="9"/>
      <c r="AX65" s="8"/>
      <c r="AY65" s="9"/>
      <c r="AZ65" s="8" t="str">
        <f aca="false">IF(OR(AX65="",AY65=""),"",AX65*AY65)</f>
        <v/>
      </c>
      <c r="BA65" s="8" t="str">
        <f aca="false">IF(AX65="","",AX65-N(AZ65)-N(BC65))</f>
        <v/>
      </c>
      <c r="BB65" s="8" t="str">
        <f aca="false">IF(AX65="","",BA65-N(AR65))</f>
        <v/>
      </c>
      <c r="BC65" s="8"/>
      <c r="BD65" s="8"/>
      <c r="BE65" s="8" t="str">
        <f aca="false">IF(AX65="","",AX65-N(BD65))</f>
        <v/>
      </c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8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8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 t="str">
        <f aca="false">IF(U66="","",ROUND(U66/2.54,1))</f>
        <v/>
      </c>
      <c r="Y66" s="10" t="str">
        <f aca="false">IF(V66="","",ROUND(V66/2.54,1))</f>
        <v/>
      </c>
      <c r="Z66" s="10" t="str">
        <f aca="false">IF(W66="","",ROUND(W66/2.54,1))</f>
        <v/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1"/>
      <c r="AO66" s="11"/>
      <c r="AP66" s="11"/>
      <c r="AQ66" s="11"/>
      <c r="AR66" s="11" t="str">
        <f aca="false">IF(COUNT(AN66,AO66,AP66,AQ66)=0,"",SUM(AN66:AQ66))</f>
        <v/>
      </c>
      <c r="AS66" s="10"/>
      <c r="AT66" s="10"/>
      <c r="AU66" s="11"/>
      <c r="AV66" s="11" t="str">
        <f aca="false">IF(OR(AU66="",U66="",V66=""),"",AU66/(U66*V66))</f>
        <v/>
      </c>
      <c r="AW66" s="12"/>
      <c r="AX66" s="11"/>
      <c r="AY66" s="12"/>
      <c r="AZ66" s="11" t="str">
        <f aca="false">IF(OR(AX66="",AY66=""),"",AX66*AY66)</f>
        <v/>
      </c>
      <c r="BA66" s="11" t="str">
        <f aca="false">IF(AX66="","",AX66-N(AZ66)-N(BC66))</f>
        <v/>
      </c>
      <c r="BB66" s="11" t="str">
        <f aca="false">IF(AX66="","",BA66-N(AR66))</f>
        <v/>
      </c>
      <c r="BC66" s="11"/>
      <c r="BD66" s="11"/>
      <c r="BE66" s="11" t="str">
        <f aca="false">IF(AX66="","",AX66-N(BD66))</f>
        <v/>
      </c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1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1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 t="str">
        <f aca="false">IF(U67="","",ROUND(U67/2.54,1))</f>
        <v/>
      </c>
      <c r="Y67" s="7" t="str">
        <f aca="false">IF(V67="","",ROUND(V67/2.54,1))</f>
        <v/>
      </c>
      <c r="Z67" s="7" t="str">
        <f aca="false">IF(W67="","",ROUND(W67/2.54,1))</f>
        <v/>
      </c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8"/>
      <c r="AO67" s="8"/>
      <c r="AP67" s="8"/>
      <c r="AQ67" s="8"/>
      <c r="AR67" s="8" t="str">
        <f aca="false">IF(COUNT(AN67,AO67,AP67,AQ67)=0,"",SUM(AN67:AQ67))</f>
        <v/>
      </c>
      <c r="AS67" s="7"/>
      <c r="AT67" s="7"/>
      <c r="AU67" s="8"/>
      <c r="AV67" s="8" t="str">
        <f aca="false">IF(OR(AU67="",U67="",V67=""),"",AU67/(U67*V67))</f>
        <v/>
      </c>
      <c r="AW67" s="9"/>
      <c r="AX67" s="8"/>
      <c r="AY67" s="9"/>
      <c r="AZ67" s="8" t="str">
        <f aca="false">IF(OR(AX67="",AY67=""),"",AX67*AY67)</f>
        <v/>
      </c>
      <c r="BA67" s="8" t="str">
        <f aca="false">IF(AX67="","",AX67-N(AZ67)-N(BC67))</f>
        <v/>
      </c>
      <c r="BB67" s="8" t="str">
        <f aca="false">IF(AX67="","",BA67-N(AR67))</f>
        <v/>
      </c>
      <c r="BC67" s="8"/>
      <c r="BD67" s="8"/>
      <c r="BE67" s="8" t="str">
        <f aca="false">IF(AX67="","",AX67-N(BD67))</f>
        <v/>
      </c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8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8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 t="str">
        <f aca="false">IF(U68="","",ROUND(U68/2.54,1))</f>
        <v/>
      </c>
      <c r="Y68" s="10" t="str">
        <f aca="false">IF(V68="","",ROUND(V68/2.54,1))</f>
        <v/>
      </c>
      <c r="Z68" s="10" t="str">
        <f aca="false">IF(W68="","",ROUND(W68/2.54,1))</f>
        <v/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1"/>
      <c r="AO68" s="11"/>
      <c r="AP68" s="11"/>
      <c r="AQ68" s="11"/>
      <c r="AR68" s="11" t="str">
        <f aca="false">IF(COUNT(AN68,AO68,AP68,AQ68)=0,"",SUM(AN68:AQ68))</f>
        <v/>
      </c>
      <c r="AS68" s="10"/>
      <c r="AT68" s="10"/>
      <c r="AU68" s="11"/>
      <c r="AV68" s="11" t="str">
        <f aca="false">IF(OR(AU68="",U68="",V68=""),"",AU68/(U68*V68))</f>
        <v/>
      </c>
      <c r="AW68" s="12"/>
      <c r="AX68" s="11"/>
      <c r="AY68" s="12"/>
      <c r="AZ68" s="11" t="str">
        <f aca="false">IF(OR(AX68="",AY68=""),"",AX68*AY68)</f>
        <v/>
      </c>
      <c r="BA68" s="11" t="str">
        <f aca="false">IF(AX68="","",AX68-N(AZ68)-N(BC68))</f>
        <v/>
      </c>
      <c r="BB68" s="11" t="str">
        <f aca="false">IF(AX68="","",BA68-N(AR68))</f>
        <v/>
      </c>
      <c r="BC68" s="11"/>
      <c r="BD68" s="11"/>
      <c r="BE68" s="11" t="str">
        <f aca="false">IF(AX68="","",AX68-N(BD68))</f>
        <v/>
      </c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1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1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 t="str">
        <f aca="false">IF(U69="","",ROUND(U69/2.54,1))</f>
        <v/>
      </c>
      <c r="Y69" s="7" t="str">
        <f aca="false">IF(V69="","",ROUND(V69/2.54,1))</f>
        <v/>
      </c>
      <c r="Z69" s="7" t="str">
        <f aca="false">IF(W69="","",ROUND(W69/2.54,1))</f>
        <v/>
      </c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8"/>
      <c r="AO69" s="8"/>
      <c r="AP69" s="8"/>
      <c r="AQ69" s="8"/>
      <c r="AR69" s="8" t="str">
        <f aca="false">IF(COUNT(AN69,AO69,AP69,AQ69)=0,"",SUM(AN69:AQ69))</f>
        <v/>
      </c>
      <c r="AS69" s="7"/>
      <c r="AT69" s="7"/>
      <c r="AU69" s="8"/>
      <c r="AV69" s="8" t="str">
        <f aca="false">IF(OR(AU69="",U69="",V69=""),"",AU69/(U69*V69))</f>
        <v/>
      </c>
      <c r="AW69" s="9"/>
      <c r="AX69" s="8"/>
      <c r="AY69" s="9"/>
      <c r="AZ69" s="8" t="str">
        <f aca="false">IF(OR(AX69="",AY69=""),"",AX69*AY69)</f>
        <v/>
      </c>
      <c r="BA69" s="8" t="str">
        <f aca="false">IF(AX69="","",AX69-N(AZ69)-N(BC69))</f>
        <v/>
      </c>
      <c r="BB69" s="8" t="str">
        <f aca="false">IF(AX69="","",BA69-N(AR69))</f>
        <v/>
      </c>
      <c r="BC69" s="8"/>
      <c r="BD69" s="8"/>
      <c r="BE69" s="8" t="str">
        <f aca="false">IF(AX69="","",AX69-N(BD69))</f>
        <v/>
      </c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8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8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 t="str">
        <f aca="false">IF(U70="","",ROUND(U70/2.54,1))</f>
        <v/>
      </c>
      <c r="Y70" s="10" t="str">
        <f aca="false">IF(V70="","",ROUND(V70/2.54,1))</f>
        <v/>
      </c>
      <c r="Z70" s="10" t="str">
        <f aca="false">IF(W70="","",ROUND(W70/2.54,1))</f>
        <v/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1"/>
      <c r="AO70" s="11"/>
      <c r="AP70" s="11"/>
      <c r="AQ70" s="11"/>
      <c r="AR70" s="11" t="str">
        <f aca="false">IF(COUNT(AN70,AO70,AP70,AQ70)=0,"",SUM(AN70:AQ70))</f>
        <v/>
      </c>
      <c r="AS70" s="10"/>
      <c r="AT70" s="10"/>
      <c r="AU70" s="11"/>
      <c r="AV70" s="11" t="str">
        <f aca="false">IF(OR(AU70="",U70="",V70=""),"",AU70/(U70*V70))</f>
        <v/>
      </c>
      <c r="AW70" s="12"/>
      <c r="AX70" s="11"/>
      <c r="AY70" s="12"/>
      <c r="AZ70" s="11" t="str">
        <f aca="false">IF(OR(AX70="",AY70=""),"",AX70*AY70)</f>
        <v/>
      </c>
      <c r="BA70" s="11" t="str">
        <f aca="false">IF(AX70="","",AX70-N(AZ70)-N(BC70))</f>
        <v/>
      </c>
      <c r="BB70" s="11" t="str">
        <f aca="false">IF(AX70="","",BA70-N(AR70))</f>
        <v/>
      </c>
      <c r="BC70" s="11"/>
      <c r="BD70" s="11"/>
      <c r="BE70" s="11" t="str">
        <f aca="false">IF(AX70="","",AX70-N(BD70))</f>
        <v/>
      </c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1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1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 t="str">
        <f aca="false">IF(U71="","",ROUND(U71/2.54,1))</f>
        <v/>
      </c>
      <c r="Y71" s="7" t="str">
        <f aca="false">IF(V71="","",ROUND(V71/2.54,1))</f>
        <v/>
      </c>
      <c r="Z71" s="7" t="str">
        <f aca="false">IF(W71="","",ROUND(W71/2.54,1))</f>
        <v/>
      </c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8"/>
      <c r="AO71" s="8"/>
      <c r="AP71" s="8"/>
      <c r="AQ71" s="8"/>
      <c r="AR71" s="8" t="str">
        <f aca="false">IF(COUNT(AN71,AO71,AP71,AQ71)=0,"",SUM(AN71:AQ71))</f>
        <v/>
      </c>
      <c r="AS71" s="7"/>
      <c r="AT71" s="7"/>
      <c r="AU71" s="8"/>
      <c r="AV71" s="8" t="str">
        <f aca="false">IF(OR(AU71="",U71="",V71=""),"",AU71/(U71*V71))</f>
        <v/>
      </c>
      <c r="AW71" s="9"/>
      <c r="AX71" s="8"/>
      <c r="AY71" s="9"/>
      <c r="AZ71" s="8" t="str">
        <f aca="false">IF(OR(AX71="",AY71=""),"",AX71*AY71)</f>
        <v/>
      </c>
      <c r="BA71" s="8" t="str">
        <f aca="false">IF(AX71="","",AX71-N(AZ71)-N(BC71))</f>
        <v/>
      </c>
      <c r="BB71" s="8" t="str">
        <f aca="false">IF(AX71="","",BA71-N(AR71))</f>
        <v/>
      </c>
      <c r="BC71" s="8"/>
      <c r="BD71" s="8"/>
      <c r="BE71" s="8" t="str">
        <f aca="false">IF(AX71="","",AX71-N(BD71))</f>
        <v/>
      </c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8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8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 t="str">
        <f aca="false">IF(U72="","",ROUND(U72/2.54,1))</f>
        <v/>
      </c>
      <c r="Y72" s="10" t="str">
        <f aca="false">IF(V72="","",ROUND(V72/2.54,1))</f>
        <v/>
      </c>
      <c r="Z72" s="10" t="str">
        <f aca="false">IF(W72="","",ROUND(W72/2.54,1))</f>
        <v/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1"/>
      <c r="AO72" s="11"/>
      <c r="AP72" s="11"/>
      <c r="AQ72" s="11"/>
      <c r="AR72" s="11" t="str">
        <f aca="false">IF(COUNT(AN72,AO72,AP72,AQ72)=0,"",SUM(AN72:AQ72))</f>
        <v/>
      </c>
      <c r="AS72" s="10"/>
      <c r="AT72" s="10"/>
      <c r="AU72" s="11"/>
      <c r="AV72" s="11" t="str">
        <f aca="false">IF(OR(AU72="",U72="",V72=""),"",AU72/(U72*V72))</f>
        <v/>
      </c>
      <c r="AW72" s="12"/>
      <c r="AX72" s="11"/>
      <c r="AY72" s="12"/>
      <c r="AZ72" s="11" t="str">
        <f aca="false">IF(OR(AX72="",AY72=""),"",AX72*AY72)</f>
        <v/>
      </c>
      <c r="BA72" s="11" t="str">
        <f aca="false">IF(AX72="","",AX72-N(AZ72)-N(BC72))</f>
        <v/>
      </c>
      <c r="BB72" s="11" t="str">
        <f aca="false">IF(AX72="","",BA72-N(AR72))</f>
        <v/>
      </c>
      <c r="BC72" s="11"/>
      <c r="BD72" s="11"/>
      <c r="BE72" s="11" t="str">
        <f aca="false">IF(AX72="","",AX72-N(BD72))</f>
        <v/>
      </c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1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1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 t="str">
        <f aca="false">IF(U73="","",ROUND(U73/2.54,1))</f>
        <v/>
      </c>
      <c r="Y73" s="7" t="str">
        <f aca="false">IF(V73="","",ROUND(V73/2.54,1))</f>
        <v/>
      </c>
      <c r="Z73" s="7" t="str">
        <f aca="false">IF(W73="","",ROUND(W73/2.54,1))</f>
        <v/>
      </c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8"/>
      <c r="AO73" s="8"/>
      <c r="AP73" s="8"/>
      <c r="AQ73" s="8"/>
      <c r="AR73" s="8" t="str">
        <f aca="false">IF(COUNT(AN73,AO73,AP73,AQ73)=0,"",SUM(AN73:AQ73))</f>
        <v/>
      </c>
      <c r="AS73" s="7"/>
      <c r="AT73" s="7"/>
      <c r="AU73" s="8"/>
      <c r="AV73" s="8" t="str">
        <f aca="false">IF(OR(AU73="",U73="",V73=""),"",AU73/(U73*V73))</f>
        <v/>
      </c>
      <c r="AW73" s="9"/>
      <c r="AX73" s="8"/>
      <c r="AY73" s="9"/>
      <c r="AZ73" s="8" t="str">
        <f aca="false">IF(OR(AX73="",AY73=""),"",AX73*AY73)</f>
        <v/>
      </c>
      <c r="BA73" s="8" t="str">
        <f aca="false">IF(AX73="","",AX73-N(AZ73)-N(BC73))</f>
        <v/>
      </c>
      <c r="BB73" s="8" t="str">
        <f aca="false">IF(AX73="","",BA73-N(AR73))</f>
        <v/>
      </c>
      <c r="BC73" s="8"/>
      <c r="BD73" s="8"/>
      <c r="BE73" s="8" t="str">
        <f aca="false">IF(AX73="","",AX73-N(BD73))</f>
        <v/>
      </c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8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8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 t="str">
        <f aca="false">IF(U74="","",ROUND(U74/2.54,1))</f>
        <v/>
      </c>
      <c r="Y74" s="10" t="str">
        <f aca="false">IF(V74="","",ROUND(V74/2.54,1))</f>
        <v/>
      </c>
      <c r="Z74" s="10" t="str">
        <f aca="false">IF(W74="","",ROUND(W74/2.54,1))</f>
        <v/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1"/>
      <c r="AO74" s="11"/>
      <c r="AP74" s="11"/>
      <c r="AQ74" s="11"/>
      <c r="AR74" s="11" t="str">
        <f aca="false">IF(COUNT(AN74,AO74,AP74,AQ74)=0,"",SUM(AN74:AQ74))</f>
        <v/>
      </c>
      <c r="AS74" s="10"/>
      <c r="AT74" s="10"/>
      <c r="AU74" s="11"/>
      <c r="AV74" s="11" t="str">
        <f aca="false">IF(OR(AU74="",U74="",V74=""),"",AU74/(U74*V74))</f>
        <v/>
      </c>
      <c r="AW74" s="12"/>
      <c r="AX74" s="11"/>
      <c r="AY74" s="12"/>
      <c r="AZ74" s="11" t="str">
        <f aca="false">IF(OR(AX74="",AY74=""),"",AX74*AY74)</f>
        <v/>
      </c>
      <c r="BA74" s="11" t="str">
        <f aca="false">IF(AX74="","",AX74-N(AZ74)-N(BC74))</f>
        <v/>
      </c>
      <c r="BB74" s="11" t="str">
        <f aca="false">IF(AX74="","",BA74-N(AR74))</f>
        <v/>
      </c>
      <c r="BC74" s="11"/>
      <c r="BD74" s="11"/>
      <c r="BE74" s="11" t="str">
        <f aca="false">IF(AX74="","",AX74-N(BD74))</f>
        <v/>
      </c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1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1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 t="str">
        <f aca="false">IF(U75="","",ROUND(U75/2.54,1))</f>
        <v/>
      </c>
      <c r="Y75" s="7" t="str">
        <f aca="false">IF(V75="","",ROUND(V75/2.54,1))</f>
        <v/>
      </c>
      <c r="Z75" s="7" t="str">
        <f aca="false">IF(W75="","",ROUND(W75/2.54,1))</f>
        <v/>
      </c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8"/>
      <c r="AO75" s="8"/>
      <c r="AP75" s="8"/>
      <c r="AQ75" s="8"/>
      <c r="AR75" s="8" t="str">
        <f aca="false">IF(COUNT(AN75,AO75,AP75,AQ75)=0,"",SUM(AN75:AQ75))</f>
        <v/>
      </c>
      <c r="AS75" s="7"/>
      <c r="AT75" s="7"/>
      <c r="AU75" s="8"/>
      <c r="AV75" s="8" t="str">
        <f aca="false">IF(OR(AU75="",U75="",V75=""),"",AU75/(U75*V75))</f>
        <v/>
      </c>
      <c r="AW75" s="9"/>
      <c r="AX75" s="8"/>
      <c r="AY75" s="9"/>
      <c r="AZ75" s="8" t="str">
        <f aca="false">IF(OR(AX75="",AY75=""),"",AX75*AY75)</f>
        <v/>
      </c>
      <c r="BA75" s="8" t="str">
        <f aca="false">IF(AX75="","",AX75-N(AZ75)-N(BC75))</f>
        <v/>
      </c>
      <c r="BB75" s="8" t="str">
        <f aca="false">IF(AX75="","",BA75-N(AR75))</f>
        <v/>
      </c>
      <c r="BC75" s="8"/>
      <c r="BD75" s="8"/>
      <c r="BE75" s="8" t="str">
        <f aca="false">IF(AX75="","",AX75-N(BD75))</f>
        <v/>
      </c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8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8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 t="str">
        <f aca="false">IF(U76="","",ROUND(U76/2.54,1))</f>
        <v/>
      </c>
      <c r="Y76" s="10" t="str">
        <f aca="false">IF(V76="","",ROUND(V76/2.54,1))</f>
        <v/>
      </c>
      <c r="Z76" s="10" t="str">
        <f aca="false">IF(W76="","",ROUND(W76/2.54,1))</f>
        <v/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1"/>
      <c r="AO76" s="11"/>
      <c r="AP76" s="11"/>
      <c r="AQ76" s="11"/>
      <c r="AR76" s="11" t="str">
        <f aca="false">IF(COUNT(AN76,AO76,AP76,AQ76)=0,"",SUM(AN76:AQ76))</f>
        <v/>
      </c>
      <c r="AS76" s="10"/>
      <c r="AT76" s="10"/>
      <c r="AU76" s="11"/>
      <c r="AV76" s="11" t="str">
        <f aca="false">IF(OR(AU76="",U76="",V76=""),"",AU76/(U76*V76))</f>
        <v/>
      </c>
      <c r="AW76" s="12"/>
      <c r="AX76" s="11"/>
      <c r="AY76" s="12"/>
      <c r="AZ76" s="11" t="str">
        <f aca="false">IF(OR(AX76="",AY76=""),"",AX76*AY76)</f>
        <v/>
      </c>
      <c r="BA76" s="11" t="str">
        <f aca="false">IF(AX76="","",AX76-N(AZ76)-N(BC76))</f>
        <v/>
      </c>
      <c r="BB76" s="11" t="str">
        <f aca="false">IF(AX76="","",BA76-N(AR76))</f>
        <v/>
      </c>
      <c r="BC76" s="11"/>
      <c r="BD76" s="11"/>
      <c r="BE76" s="11" t="str">
        <f aca="false">IF(AX76="","",AX76-N(BD76))</f>
        <v/>
      </c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1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1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 t="str">
        <f aca="false">IF(U77="","",ROUND(U77/2.54,1))</f>
        <v/>
      </c>
      <c r="Y77" s="7" t="str">
        <f aca="false">IF(V77="","",ROUND(V77/2.54,1))</f>
        <v/>
      </c>
      <c r="Z77" s="7" t="str">
        <f aca="false">IF(W77="","",ROUND(W77/2.54,1))</f>
        <v/>
      </c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8"/>
      <c r="AO77" s="8"/>
      <c r="AP77" s="8"/>
      <c r="AQ77" s="8"/>
      <c r="AR77" s="8" t="str">
        <f aca="false">IF(COUNT(AN77,AO77,AP77,AQ77)=0,"",SUM(AN77:AQ77))</f>
        <v/>
      </c>
      <c r="AS77" s="7"/>
      <c r="AT77" s="7"/>
      <c r="AU77" s="8"/>
      <c r="AV77" s="8" t="str">
        <f aca="false">IF(OR(AU77="",U77="",V77=""),"",AU77/(U77*V77))</f>
        <v/>
      </c>
      <c r="AW77" s="9"/>
      <c r="AX77" s="8"/>
      <c r="AY77" s="9"/>
      <c r="AZ77" s="8" t="str">
        <f aca="false">IF(OR(AX77="",AY77=""),"",AX77*AY77)</f>
        <v/>
      </c>
      <c r="BA77" s="8" t="str">
        <f aca="false">IF(AX77="","",AX77-N(AZ77)-N(BC77))</f>
        <v/>
      </c>
      <c r="BB77" s="8" t="str">
        <f aca="false">IF(AX77="","",BA77-N(AR77))</f>
        <v/>
      </c>
      <c r="BC77" s="8"/>
      <c r="BD77" s="8"/>
      <c r="BE77" s="8" t="str">
        <f aca="false">IF(AX77="","",AX77-N(BD77))</f>
        <v/>
      </c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8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8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 t="str">
        <f aca="false">IF(U78="","",ROUND(U78/2.54,1))</f>
        <v/>
      </c>
      <c r="Y78" s="10" t="str">
        <f aca="false">IF(V78="","",ROUND(V78/2.54,1))</f>
        <v/>
      </c>
      <c r="Z78" s="10" t="str">
        <f aca="false">IF(W78="","",ROUND(W78/2.54,1))</f>
        <v/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1"/>
      <c r="AO78" s="11"/>
      <c r="AP78" s="11"/>
      <c r="AQ78" s="11"/>
      <c r="AR78" s="11" t="str">
        <f aca="false">IF(COUNT(AN78,AO78,AP78,AQ78)=0,"",SUM(AN78:AQ78))</f>
        <v/>
      </c>
      <c r="AS78" s="10"/>
      <c r="AT78" s="10"/>
      <c r="AU78" s="11"/>
      <c r="AV78" s="11" t="str">
        <f aca="false">IF(OR(AU78="",U78="",V78=""),"",AU78/(U78*V78))</f>
        <v/>
      </c>
      <c r="AW78" s="12"/>
      <c r="AX78" s="11"/>
      <c r="AY78" s="12"/>
      <c r="AZ78" s="11" t="str">
        <f aca="false">IF(OR(AX78="",AY78=""),"",AX78*AY78)</f>
        <v/>
      </c>
      <c r="BA78" s="11" t="str">
        <f aca="false">IF(AX78="","",AX78-N(AZ78)-N(BC78))</f>
        <v/>
      </c>
      <c r="BB78" s="11" t="str">
        <f aca="false">IF(AX78="","",BA78-N(AR78))</f>
        <v/>
      </c>
      <c r="BC78" s="11"/>
      <c r="BD78" s="11"/>
      <c r="BE78" s="11" t="str">
        <f aca="false">IF(AX78="","",AX78-N(BD78))</f>
        <v/>
      </c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1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1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 t="str">
        <f aca="false">IF(U79="","",ROUND(U79/2.54,1))</f>
        <v/>
      </c>
      <c r="Y79" s="7" t="str">
        <f aca="false">IF(V79="","",ROUND(V79/2.54,1))</f>
        <v/>
      </c>
      <c r="Z79" s="7" t="str">
        <f aca="false">IF(W79="","",ROUND(W79/2.54,1))</f>
        <v/>
      </c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8"/>
      <c r="AO79" s="8"/>
      <c r="AP79" s="8"/>
      <c r="AQ79" s="8"/>
      <c r="AR79" s="8" t="str">
        <f aca="false">IF(COUNT(AN79,AO79,AP79,AQ79)=0,"",SUM(AN79:AQ79))</f>
        <v/>
      </c>
      <c r="AS79" s="7"/>
      <c r="AT79" s="7"/>
      <c r="AU79" s="8"/>
      <c r="AV79" s="8" t="str">
        <f aca="false">IF(OR(AU79="",U79="",V79=""),"",AU79/(U79*V79))</f>
        <v/>
      </c>
      <c r="AW79" s="9"/>
      <c r="AX79" s="8"/>
      <c r="AY79" s="9"/>
      <c r="AZ79" s="8" t="str">
        <f aca="false">IF(OR(AX79="",AY79=""),"",AX79*AY79)</f>
        <v/>
      </c>
      <c r="BA79" s="8" t="str">
        <f aca="false">IF(AX79="","",AX79-N(AZ79)-N(BC79))</f>
        <v/>
      </c>
      <c r="BB79" s="8" t="str">
        <f aca="false">IF(AX79="","",BA79-N(AR79))</f>
        <v/>
      </c>
      <c r="BC79" s="8"/>
      <c r="BD79" s="8"/>
      <c r="BE79" s="8" t="str">
        <f aca="false">IF(AX79="","",AX79-N(BD79))</f>
        <v/>
      </c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8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8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 t="str">
        <f aca="false">IF(U80="","",ROUND(U80/2.54,1))</f>
        <v/>
      </c>
      <c r="Y80" s="10" t="str">
        <f aca="false">IF(V80="","",ROUND(V80/2.54,1))</f>
        <v/>
      </c>
      <c r="Z80" s="10" t="str">
        <f aca="false">IF(W80="","",ROUND(W80/2.54,1))</f>
        <v/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1"/>
      <c r="AO80" s="11"/>
      <c r="AP80" s="11"/>
      <c r="AQ80" s="11"/>
      <c r="AR80" s="11" t="str">
        <f aca="false">IF(COUNT(AN80,AO80,AP80,AQ80)=0,"",SUM(AN80:AQ80))</f>
        <v/>
      </c>
      <c r="AS80" s="10"/>
      <c r="AT80" s="10"/>
      <c r="AU80" s="11"/>
      <c r="AV80" s="11" t="str">
        <f aca="false">IF(OR(AU80="",U80="",V80=""),"",AU80/(U80*V80))</f>
        <v/>
      </c>
      <c r="AW80" s="12"/>
      <c r="AX80" s="11"/>
      <c r="AY80" s="12"/>
      <c r="AZ80" s="11" t="str">
        <f aca="false">IF(OR(AX80="",AY80=""),"",AX80*AY80)</f>
        <v/>
      </c>
      <c r="BA80" s="11" t="str">
        <f aca="false">IF(AX80="","",AX80-N(AZ80)-N(BC80))</f>
        <v/>
      </c>
      <c r="BB80" s="11" t="str">
        <f aca="false">IF(AX80="","",BA80-N(AR80))</f>
        <v/>
      </c>
      <c r="BC80" s="11"/>
      <c r="BD80" s="11"/>
      <c r="BE80" s="11" t="str">
        <f aca="false">IF(AX80="","",AX80-N(BD80))</f>
        <v/>
      </c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1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1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 t="str">
        <f aca="false">IF(U81="","",ROUND(U81/2.54,1))</f>
        <v/>
      </c>
      <c r="Y81" s="7" t="str">
        <f aca="false">IF(V81="","",ROUND(V81/2.54,1))</f>
        <v/>
      </c>
      <c r="Z81" s="7" t="str">
        <f aca="false">IF(W81="","",ROUND(W81/2.54,1))</f>
        <v/>
      </c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8"/>
      <c r="AO81" s="8"/>
      <c r="AP81" s="8"/>
      <c r="AQ81" s="8"/>
      <c r="AR81" s="8" t="str">
        <f aca="false">IF(COUNT(AN81,AO81,AP81,AQ81)=0,"",SUM(AN81:AQ81))</f>
        <v/>
      </c>
      <c r="AS81" s="7"/>
      <c r="AT81" s="7"/>
      <c r="AU81" s="8"/>
      <c r="AV81" s="8" t="str">
        <f aca="false">IF(OR(AU81="",U81="",V81=""),"",AU81/(U81*V81))</f>
        <v/>
      </c>
      <c r="AW81" s="9"/>
      <c r="AX81" s="8"/>
      <c r="AY81" s="9"/>
      <c r="AZ81" s="8" t="str">
        <f aca="false">IF(OR(AX81="",AY81=""),"",AX81*AY81)</f>
        <v/>
      </c>
      <c r="BA81" s="8" t="str">
        <f aca="false">IF(AX81="","",AX81-N(AZ81)-N(BC81))</f>
        <v/>
      </c>
      <c r="BB81" s="8" t="str">
        <f aca="false">IF(AX81="","",BA81-N(AR81))</f>
        <v/>
      </c>
      <c r="BC81" s="8"/>
      <c r="BD81" s="8"/>
      <c r="BE81" s="8" t="str">
        <f aca="false">IF(AX81="","",AX81-N(BD81))</f>
        <v/>
      </c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8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8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 t="str">
        <f aca="false">IF(U82="","",ROUND(U82/2.54,1))</f>
        <v/>
      </c>
      <c r="Y82" s="10" t="str">
        <f aca="false">IF(V82="","",ROUND(V82/2.54,1))</f>
        <v/>
      </c>
      <c r="Z82" s="10" t="str">
        <f aca="false">IF(W82="","",ROUND(W82/2.54,1))</f>
        <v/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1"/>
      <c r="AO82" s="11"/>
      <c r="AP82" s="11"/>
      <c r="AQ82" s="11"/>
      <c r="AR82" s="11" t="str">
        <f aca="false">IF(COUNT(AN82,AO82,AP82,AQ82)=0,"",SUM(AN82:AQ82))</f>
        <v/>
      </c>
      <c r="AS82" s="10"/>
      <c r="AT82" s="10"/>
      <c r="AU82" s="11"/>
      <c r="AV82" s="11" t="str">
        <f aca="false">IF(OR(AU82="",U82="",V82=""),"",AU82/(U82*V82))</f>
        <v/>
      </c>
      <c r="AW82" s="12"/>
      <c r="AX82" s="11"/>
      <c r="AY82" s="12"/>
      <c r="AZ82" s="11" t="str">
        <f aca="false">IF(OR(AX82="",AY82=""),"",AX82*AY82)</f>
        <v/>
      </c>
      <c r="BA82" s="11" t="str">
        <f aca="false">IF(AX82="","",AX82-N(AZ82)-N(BC82))</f>
        <v/>
      </c>
      <c r="BB82" s="11" t="str">
        <f aca="false">IF(AX82="","",BA82-N(AR82))</f>
        <v/>
      </c>
      <c r="BC82" s="11"/>
      <c r="BD82" s="11"/>
      <c r="BE82" s="11" t="str">
        <f aca="false">IF(AX82="","",AX82-N(BD82))</f>
        <v/>
      </c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1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1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 t="str">
        <f aca="false">IF(U83="","",ROUND(U83/2.54,1))</f>
        <v/>
      </c>
      <c r="Y83" s="7" t="str">
        <f aca="false">IF(V83="","",ROUND(V83/2.54,1))</f>
        <v/>
      </c>
      <c r="Z83" s="7" t="str">
        <f aca="false">IF(W83="","",ROUND(W83/2.54,1))</f>
        <v/>
      </c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8"/>
      <c r="AO83" s="8"/>
      <c r="AP83" s="8"/>
      <c r="AQ83" s="8"/>
      <c r="AR83" s="8" t="str">
        <f aca="false">IF(COUNT(AN83,AO83,AP83,AQ83)=0,"",SUM(AN83:AQ83))</f>
        <v/>
      </c>
      <c r="AS83" s="7"/>
      <c r="AT83" s="7"/>
      <c r="AU83" s="8"/>
      <c r="AV83" s="8" t="str">
        <f aca="false">IF(OR(AU83="",U83="",V83=""),"",AU83/(U83*V83))</f>
        <v/>
      </c>
      <c r="AW83" s="9"/>
      <c r="AX83" s="8"/>
      <c r="AY83" s="9"/>
      <c r="AZ83" s="8" t="str">
        <f aca="false">IF(OR(AX83="",AY83=""),"",AX83*AY83)</f>
        <v/>
      </c>
      <c r="BA83" s="8" t="str">
        <f aca="false">IF(AX83="","",AX83-N(AZ83)-N(BC83))</f>
        <v/>
      </c>
      <c r="BB83" s="8" t="str">
        <f aca="false">IF(AX83="","",BA83-N(AR83))</f>
        <v/>
      </c>
      <c r="BC83" s="8"/>
      <c r="BD83" s="8"/>
      <c r="BE83" s="8" t="str">
        <f aca="false">IF(AX83="","",AX83-N(BD83))</f>
        <v/>
      </c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8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8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 t="str">
        <f aca="false">IF(U84="","",ROUND(U84/2.54,1))</f>
        <v/>
      </c>
      <c r="Y84" s="10" t="str">
        <f aca="false">IF(V84="","",ROUND(V84/2.54,1))</f>
        <v/>
      </c>
      <c r="Z84" s="10" t="str">
        <f aca="false">IF(W84="","",ROUND(W84/2.54,1))</f>
        <v/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1"/>
      <c r="AO84" s="11"/>
      <c r="AP84" s="11"/>
      <c r="AQ84" s="11"/>
      <c r="AR84" s="11" t="str">
        <f aca="false">IF(COUNT(AN84,AO84,AP84,AQ84)=0,"",SUM(AN84:AQ84))</f>
        <v/>
      </c>
      <c r="AS84" s="10"/>
      <c r="AT84" s="10"/>
      <c r="AU84" s="11"/>
      <c r="AV84" s="11" t="str">
        <f aca="false">IF(OR(AU84="",U84="",V84=""),"",AU84/(U84*V84))</f>
        <v/>
      </c>
      <c r="AW84" s="12"/>
      <c r="AX84" s="11"/>
      <c r="AY84" s="12"/>
      <c r="AZ84" s="11" t="str">
        <f aca="false">IF(OR(AX84="",AY84=""),"",AX84*AY84)</f>
        <v/>
      </c>
      <c r="BA84" s="11" t="str">
        <f aca="false">IF(AX84="","",AX84-N(AZ84)-N(BC84))</f>
        <v/>
      </c>
      <c r="BB84" s="11" t="str">
        <f aca="false">IF(AX84="","",BA84-N(AR84))</f>
        <v/>
      </c>
      <c r="BC84" s="11"/>
      <c r="BD84" s="11"/>
      <c r="BE84" s="11" t="str">
        <f aca="false">IF(AX84="","",AX84-N(BD84))</f>
        <v/>
      </c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1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1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 t="str">
        <f aca="false">IF(U85="","",ROUND(U85/2.54,1))</f>
        <v/>
      </c>
      <c r="Y85" s="7" t="str">
        <f aca="false">IF(V85="","",ROUND(V85/2.54,1))</f>
        <v/>
      </c>
      <c r="Z85" s="7" t="str">
        <f aca="false">IF(W85="","",ROUND(W85/2.54,1))</f>
        <v/>
      </c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8"/>
      <c r="AO85" s="8"/>
      <c r="AP85" s="8"/>
      <c r="AQ85" s="8"/>
      <c r="AR85" s="8" t="str">
        <f aca="false">IF(COUNT(AN85,AO85,AP85,AQ85)=0,"",SUM(AN85:AQ85))</f>
        <v/>
      </c>
      <c r="AS85" s="7"/>
      <c r="AT85" s="7"/>
      <c r="AU85" s="8"/>
      <c r="AV85" s="8" t="str">
        <f aca="false">IF(OR(AU85="",U85="",V85=""),"",AU85/(U85*V85))</f>
        <v/>
      </c>
      <c r="AW85" s="9"/>
      <c r="AX85" s="8"/>
      <c r="AY85" s="9"/>
      <c r="AZ85" s="8" t="str">
        <f aca="false">IF(OR(AX85="",AY85=""),"",AX85*AY85)</f>
        <v/>
      </c>
      <c r="BA85" s="8" t="str">
        <f aca="false">IF(AX85="","",AX85-N(AZ85)-N(BC85))</f>
        <v/>
      </c>
      <c r="BB85" s="8" t="str">
        <f aca="false">IF(AX85="","",BA85-N(AR85))</f>
        <v/>
      </c>
      <c r="BC85" s="8"/>
      <c r="BD85" s="8"/>
      <c r="BE85" s="8" t="str">
        <f aca="false">IF(AX85="","",AX85-N(BD85))</f>
        <v/>
      </c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8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8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 t="str">
        <f aca="false">IF(U86="","",ROUND(U86/2.54,1))</f>
        <v/>
      </c>
      <c r="Y86" s="10" t="str">
        <f aca="false">IF(V86="","",ROUND(V86/2.54,1))</f>
        <v/>
      </c>
      <c r="Z86" s="10" t="str">
        <f aca="false">IF(W86="","",ROUND(W86/2.54,1))</f>
        <v/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1"/>
      <c r="AO86" s="11"/>
      <c r="AP86" s="11"/>
      <c r="AQ86" s="11"/>
      <c r="AR86" s="11" t="str">
        <f aca="false">IF(COUNT(AN86,AO86,AP86,AQ86)=0,"",SUM(AN86:AQ86))</f>
        <v/>
      </c>
      <c r="AS86" s="10"/>
      <c r="AT86" s="10"/>
      <c r="AU86" s="11"/>
      <c r="AV86" s="11" t="str">
        <f aca="false">IF(OR(AU86="",U86="",V86=""),"",AU86/(U86*V86))</f>
        <v/>
      </c>
      <c r="AW86" s="12"/>
      <c r="AX86" s="11"/>
      <c r="AY86" s="12"/>
      <c r="AZ86" s="11" t="str">
        <f aca="false">IF(OR(AX86="",AY86=""),"",AX86*AY86)</f>
        <v/>
      </c>
      <c r="BA86" s="11" t="str">
        <f aca="false">IF(AX86="","",AX86-N(AZ86)-N(BC86))</f>
        <v/>
      </c>
      <c r="BB86" s="11" t="str">
        <f aca="false">IF(AX86="","",BA86-N(AR86))</f>
        <v/>
      </c>
      <c r="BC86" s="11"/>
      <c r="BD86" s="11"/>
      <c r="BE86" s="11" t="str">
        <f aca="false">IF(AX86="","",AX86-N(BD86))</f>
        <v/>
      </c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1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1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 t="str">
        <f aca="false">IF(U87="","",ROUND(U87/2.54,1))</f>
        <v/>
      </c>
      <c r="Y87" s="7" t="str">
        <f aca="false">IF(V87="","",ROUND(V87/2.54,1))</f>
        <v/>
      </c>
      <c r="Z87" s="7" t="str">
        <f aca="false">IF(W87="","",ROUND(W87/2.54,1))</f>
        <v/>
      </c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8"/>
      <c r="AO87" s="8"/>
      <c r="AP87" s="8"/>
      <c r="AQ87" s="8"/>
      <c r="AR87" s="8" t="str">
        <f aca="false">IF(COUNT(AN87,AO87,AP87,AQ87)=0,"",SUM(AN87:AQ87))</f>
        <v/>
      </c>
      <c r="AS87" s="7"/>
      <c r="AT87" s="7"/>
      <c r="AU87" s="8"/>
      <c r="AV87" s="8" t="str">
        <f aca="false">IF(OR(AU87="",U87="",V87=""),"",AU87/(U87*V87))</f>
        <v/>
      </c>
      <c r="AW87" s="9"/>
      <c r="AX87" s="8"/>
      <c r="AY87" s="9"/>
      <c r="AZ87" s="8" t="str">
        <f aca="false">IF(OR(AX87="",AY87=""),"",AX87*AY87)</f>
        <v/>
      </c>
      <c r="BA87" s="8" t="str">
        <f aca="false">IF(AX87="","",AX87-N(AZ87)-N(BC87))</f>
        <v/>
      </c>
      <c r="BB87" s="8" t="str">
        <f aca="false">IF(AX87="","",BA87-N(AR87))</f>
        <v/>
      </c>
      <c r="BC87" s="8"/>
      <c r="BD87" s="8"/>
      <c r="BE87" s="8" t="str">
        <f aca="false">IF(AX87="","",AX87-N(BD87))</f>
        <v/>
      </c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8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8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 t="str">
        <f aca="false">IF(U88="","",ROUND(U88/2.54,1))</f>
        <v/>
      </c>
      <c r="Y88" s="10" t="str">
        <f aca="false">IF(V88="","",ROUND(V88/2.54,1))</f>
        <v/>
      </c>
      <c r="Z88" s="10" t="str">
        <f aca="false">IF(W88="","",ROUND(W88/2.54,1))</f>
        <v/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1"/>
      <c r="AO88" s="11"/>
      <c r="AP88" s="11"/>
      <c r="AQ88" s="11"/>
      <c r="AR88" s="11" t="str">
        <f aca="false">IF(COUNT(AN88,AO88,AP88,AQ88)=0,"",SUM(AN88:AQ88))</f>
        <v/>
      </c>
      <c r="AS88" s="10"/>
      <c r="AT88" s="10"/>
      <c r="AU88" s="11"/>
      <c r="AV88" s="11" t="str">
        <f aca="false">IF(OR(AU88="",U88="",V88=""),"",AU88/(U88*V88))</f>
        <v/>
      </c>
      <c r="AW88" s="12"/>
      <c r="AX88" s="11"/>
      <c r="AY88" s="12"/>
      <c r="AZ88" s="11" t="str">
        <f aca="false">IF(OR(AX88="",AY88=""),"",AX88*AY88)</f>
        <v/>
      </c>
      <c r="BA88" s="11" t="str">
        <f aca="false">IF(AX88="","",AX88-N(AZ88)-N(BC88))</f>
        <v/>
      </c>
      <c r="BB88" s="11" t="str">
        <f aca="false">IF(AX88="","",BA88-N(AR88))</f>
        <v/>
      </c>
      <c r="BC88" s="11"/>
      <c r="BD88" s="11"/>
      <c r="BE88" s="11" t="str">
        <f aca="false">IF(AX88="","",AX88-N(BD88))</f>
        <v/>
      </c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1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1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 t="str">
        <f aca="false">IF(U89="","",ROUND(U89/2.54,1))</f>
        <v/>
      </c>
      <c r="Y89" s="7" t="str">
        <f aca="false">IF(V89="","",ROUND(V89/2.54,1))</f>
        <v/>
      </c>
      <c r="Z89" s="7" t="str">
        <f aca="false">IF(W89="","",ROUND(W89/2.54,1))</f>
        <v/>
      </c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8"/>
      <c r="AO89" s="8"/>
      <c r="AP89" s="8"/>
      <c r="AQ89" s="8"/>
      <c r="AR89" s="8" t="str">
        <f aca="false">IF(COUNT(AN89,AO89,AP89,AQ89)=0,"",SUM(AN89:AQ89))</f>
        <v/>
      </c>
      <c r="AS89" s="7"/>
      <c r="AT89" s="7"/>
      <c r="AU89" s="8"/>
      <c r="AV89" s="8" t="str">
        <f aca="false">IF(OR(AU89="",U89="",V89=""),"",AU89/(U89*V89))</f>
        <v/>
      </c>
      <c r="AW89" s="9"/>
      <c r="AX89" s="8"/>
      <c r="AY89" s="9"/>
      <c r="AZ89" s="8" t="str">
        <f aca="false">IF(OR(AX89="",AY89=""),"",AX89*AY89)</f>
        <v/>
      </c>
      <c r="BA89" s="8" t="str">
        <f aca="false">IF(AX89="","",AX89-N(AZ89)-N(BC89))</f>
        <v/>
      </c>
      <c r="BB89" s="8" t="str">
        <f aca="false">IF(AX89="","",BA89-N(AR89))</f>
        <v/>
      </c>
      <c r="BC89" s="8"/>
      <c r="BD89" s="8"/>
      <c r="BE89" s="8" t="str">
        <f aca="false">IF(AX89="","",AX89-N(BD89))</f>
        <v/>
      </c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8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8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 t="str">
        <f aca="false">IF(U90="","",ROUND(U90/2.54,1))</f>
        <v/>
      </c>
      <c r="Y90" s="10" t="str">
        <f aca="false">IF(V90="","",ROUND(V90/2.54,1))</f>
        <v/>
      </c>
      <c r="Z90" s="10" t="str">
        <f aca="false">IF(W90="","",ROUND(W90/2.54,1))</f>
        <v/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1"/>
      <c r="AO90" s="11"/>
      <c r="AP90" s="11"/>
      <c r="AQ90" s="11"/>
      <c r="AR90" s="11" t="str">
        <f aca="false">IF(COUNT(AN90,AO90,AP90,AQ90)=0,"",SUM(AN90:AQ90))</f>
        <v/>
      </c>
      <c r="AS90" s="10"/>
      <c r="AT90" s="10"/>
      <c r="AU90" s="11"/>
      <c r="AV90" s="11" t="str">
        <f aca="false">IF(OR(AU90="",U90="",V90=""),"",AU90/(U90*V90))</f>
        <v/>
      </c>
      <c r="AW90" s="12"/>
      <c r="AX90" s="11"/>
      <c r="AY90" s="12"/>
      <c r="AZ90" s="11" t="str">
        <f aca="false">IF(OR(AX90="",AY90=""),"",AX90*AY90)</f>
        <v/>
      </c>
      <c r="BA90" s="11" t="str">
        <f aca="false">IF(AX90="","",AX90-N(AZ90)-N(BC90))</f>
        <v/>
      </c>
      <c r="BB90" s="11" t="str">
        <f aca="false">IF(AX90="","",BA90-N(AR90))</f>
        <v/>
      </c>
      <c r="BC90" s="11"/>
      <c r="BD90" s="11"/>
      <c r="BE90" s="11" t="str">
        <f aca="false">IF(AX90="","",AX90-N(BD90))</f>
        <v/>
      </c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1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1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 t="str">
        <f aca="false">IF(U91="","",ROUND(U91/2.54,1))</f>
        <v/>
      </c>
      <c r="Y91" s="7" t="str">
        <f aca="false">IF(V91="","",ROUND(V91/2.54,1))</f>
        <v/>
      </c>
      <c r="Z91" s="7" t="str">
        <f aca="false">IF(W91="","",ROUND(W91/2.54,1))</f>
        <v/>
      </c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8"/>
      <c r="AO91" s="8"/>
      <c r="AP91" s="8"/>
      <c r="AQ91" s="8"/>
      <c r="AR91" s="8" t="str">
        <f aca="false">IF(COUNT(AN91,AO91,AP91,AQ91)=0,"",SUM(AN91:AQ91))</f>
        <v/>
      </c>
      <c r="AS91" s="7"/>
      <c r="AT91" s="7"/>
      <c r="AU91" s="8"/>
      <c r="AV91" s="8" t="str">
        <f aca="false">IF(OR(AU91="",U91="",V91=""),"",AU91/(U91*V91))</f>
        <v/>
      </c>
      <c r="AW91" s="9"/>
      <c r="AX91" s="8"/>
      <c r="AY91" s="9"/>
      <c r="AZ91" s="8" t="str">
        <f aca="false">IF(OR(AX91="",AY91=""),"",AX91*AY91)</f>
        <v/>
      </c>
      <c r="BA91" s="8" t="str">
        <f aca="false">IF(AX91="","",AX91-N(AZ91)-N(BC91))</f>
        <v/>
      </c>
      <c r="BB91" s="8" t="str">
        <f aca="false">IF(AX91="","",BA91-N(AR91))</f>
        <v/>
      </c>
      <c r="BC91" s="8"/>
      <c r="BD91" s="8"/>
      <c r="BE91" s="8" t="str">
        <f aca="false">IF(AX91="","",AX91-N(BD91))</f>
        <v/>
      </c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8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8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 t="str">
        <f aca="false">IF(U92="","",ROUND(U92/2.54,1))</f>
        <v/>
      </c>
      <c r="Y92" s="10" t="str">
        <f aca="false">IF(V92="","",ROUND(V92/2.54,1))</f>
        <v/>
      </c>
      <c r="Z92" s="10" t="str">
        <f aca="false">IF(W92="","",ROUND(W92/2.54,1))</f>
        <v/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1"/>
      <c r="AO92" s="11"/>
      <c r="AP92" s="11"/>
      <c r="AQ92" s="11"/>
      <c r="AR92" s="11" t="str">
        <f aca="false">IF(COUNT(AN92,AO92,AP92,AQ92)=0,"",SUM(AN92:AQ92))</f>
        <v/>
      </c>
      <c r="AS92" s="10"/>
      <c r="AT92" s="10"/>
      <c r="AU92" s="11"/>
      <c r="AV92" s="11" t="str">
        <f aca="false">IF(OR(AU92="",U92="",V92=""),"",AU92/(U92*V92))</f>
        <v/>
      </c>
      <c r="AW92" s="12"/>
      <c r="AX92" s="11"/>
      <c r="AY92" s="12"/>
      <c r="AZ92" s="11" t="str">
        <f aca="false">IF(OR(AX92="",AY92=""),"",AX92*AY92)</f>
        <v/>
      </c>
      <c r="BA92" s="11" t="str">
        <f aca="false">IF(AX92="","",AX92-N(AZ92)-N(BC92))</f>
        <v/>
      </c>
      <c r="BB92" s="11" t="str">
        <f aca="false">IF(AX92="","",BA92-N(AR92))</f>
        <v/>
      </c>
      <c r="BC92" s="11"/>
      <c r="BD92" s="11"/>
      <c r="BE92" s="11" t="str">
        <f aca="false">IF(AX92="","",AX92-N(BD92))</f>
        <v/>
      </c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1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1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 t="str">
        <f aca="false">IF(U93="","",ROUND(U93/2.54,1))</f>
        <v/>
      </c>
      <c r="Y93" s="7" t="str">
        <f aca="false">IF(V93="","",ROUND(V93/2.54,1))</f>
        <v/>
      </c>
      <c r="Z93" s="7" t="str">
        <f aca="false">IF(W93="","",ROUND(W93/2.54,1))</f>
        <v/>
      </c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8"/>
      <c r="AO93" s="8"/>
      <c r="AP93" s="8"/>
      <c r="AQ93" s="8"/>
      <c r="AR93" s="8" t="str">
        <f aca="false">IF(COUNT(AN93,AO93,AP93,AQ93)=0,"",SUM(AN93:AQ93))</f>
        <v/>
      </c>
      <c r="AS93" s="7"/>
      <c r="AT93" s="7"/>
      <c r="AU93" s="8"/>
      <c r="AV93" s="8" t="str">
        <f aca="false">IF(OR(AU93="",U93="",V93=""),"",AU93/(U93*V93))</f>
        <v/>
      </c>
      <c r="AW93" s="9"/>
      <c r="AX93" s="8"/>
      <c r="AY93" s="9"/>
      <c r="AZ93" s="8" t="str">
        <f aca="false">IF(OR(AX93="",AY93=""),"",AX93*AY93)</f>
        <v/>
      </c>
      <c r="BA93" s="8" t="str">
        <f aca="false">IF(AX93="","",AX93-N(AZ93)-N(BC93))</f>
        <v/>
      </c>
      <c r="BB93" s="8" t="str">
        <f aca="false">IF(AX93="","",BA93-N(AR93))</f>
        <v/>
      </c>
      <c r="BC93" s="8"/>
      <c r="BD93" s="8"/>
      <c r="BE93" s="8" t="str">
        <f aca="false">IF(AX93="","",AX93-N(BD93))</f>
        <v/>
      </c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8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8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 t="str">
        <f aca="false">IF(U94="","",ROUND(U94/2.54,1))</f>
        <v/>
      </c>
      <c r="Y94" s="10" t="str">
        <f aca="false">IF(V94="","",ROUND(V94/2.54,1))</f>
        <v/>
      </c>
      <c r="Z94" s="10" t="str">
        <f aca="false">IF(W94="","",ROUND(W94/2.54,1))</f>
        <v/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1"/>
      <c r="AO94" s="11"/>
      <c r="AP94" s="11"/>
      <c r="AQ94" s="11"/>
      <c r="AR94" s="11" t="str">
        <f aca="false">IF(COUNT(AN94,AO94,AP94,AQ94)=0,"",SUM(AN94:AQ94))</f>
        <v/>
      </c>
      <c r="AS94" s="10"/>
      <c r="AT94" s="10"/>
      <c r="AU94" s="11"/>
      <c r="AV94" s="11" t="str">
        <f aca="false">IF(OR(AU94="",U94="",V94=""),"",AU94/(U94*V94))</f>
        <v/>
      </c>
      <c r="AW94" s="12"/>
      <c r="AX94" s="11"/>
      <c r="AY94" s="12"/>
      <c r="AZ94" s="11" t="str">
        <f aca="false">IF(OR(AX94="",AY94=""),"",AX94*AY94)</f>
        <v/>
      </c>
      <c r="BA94" s="11" t="str">
        <f aca="false">IF(AX94="","",AX94-N(AZ94)-N(BC94))</f>
        <v/>
      </c>
      <c r="BB94" s="11" t="str">
        <f aca="false">IF(AX94="","",BA94-N(AR94))</f>
        <v/>
      </c>
      <c r="BC94" s="11"/>
      <c r="BD94" s="11"/>
      <c r="BE94" s="11" t="str">
        <f aca="false">IF(AX94="","",AX94-N(BD94))</f>
        <v/>
      </c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1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1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 t="str">
        <f aca="false">IF(U95="","",ROUND(U95/2.54,1))</f>
        <v/>
      </c>
      <c r="Y95" s="7" t="str">
        <f aca="false">IF(V95="","",ROUND(V95/2.54,1))</f>
        <v/>
      </c>
      <c r="Z95" s="7" t="str">
        <f aca="false">IF(W95="","",ROUND(W95/2.54,1))</f>
        <v/>
      </c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8"/>
      <c r="AO95" s="8"/>
      <c r="AP95" s="8"/>
      <c r="AQ95" s="8"/>
      <c r="AR95" s="8" t="str">
        <f aca="false">IF(COUNT(AN95,AO95,AP95,AQ95)=0,"",SUM(AN95:AQ95))</f>
        <v/>
      </c>
      <c r="AS95" s="7"/>
      <c r="AT95" s="7"/>
      <c r="AU95" s="8"/>
      <c r="AV95" s="8" t="str">
        <f aca="false">IF(OR(AU95="",U95="",V95=""),"",AU95/(U95*V95))</f>
        <v/>
      </c>
      <c r="AW95" s="9"/>
      <c r="AX95" s="8"/>
      <c r="AY95" s="9"/>
      <c r="AZ95" s="8" t="str">
        <f aca="false">IF(OR(AX95="",AY95=""),"",AX95*AY95)</f>
        <v/>
      </c>
      <c r="BA95" s="8" t="str">
        <f aca="false">IF(AX95="","",AX95-N(AZ95)-N(BC95))</f>
        <v/>
      </c>
      <c r="BB95" s="8" t="str">
        <f aca="false">IF(AX95="","",BA95-N(AR95))</f>
        <v/>
      </c>
      <c r="BC95" s="8"/>
      <c r="BD95" s="8"/>
      <c r="BE95" s="8" t="str">
        <f aca="false">IF(AX95="","",AX95-N(BD95))</f>
        <v/>
      </c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8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8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 t="str">
        <f aca="false">IF(U96="","",ROUND(U96/2.54,1))</f>
        <v/>
      </c>
      <c r="Y96" s="10" t="str">
        <f aca="false">IF(V96="","",ROUND(V96/2.54,1))</f>
        <v/>
      </c>
      <c r="Z96" s="10" t="str">
        <f aca="false">IF(W96="","",ROUND(W96/2.54,1))</f>
        <v/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1"/>
      <c r="AO96" s="11"/>
      <c r="AP96" s="11"/>
      <c r="AQ96" s="11"/>
      <c r="AR96" s="11" t="str">
        <f aca="false">IF(COUNT(AN96,AO96,AP96,AQ96)=0,"",SUM(AN96:AQ96))</f>
        <v/>
      </c>
      <c r="AS96" s="10"/>
      <c r="AT96" s="10"/>
      <c r="AU96" s="11"/>
      <c r="AV96" s="11" t="str">
        <f aca="false">IF(OR(AU96="",U96="",V96=""),"",AU96/(U96*V96))</f>
        <v/>
      </c>
      <c r="AW96" s="12"/>
      <c r="AX96" s="11"/>
      <c r="AY96" s="12"/>
      <c r="AZ96" s="11" t="str">
        <f aca="false">IF(OR(AX96="",AY96=""),"",AX96*AY96)</f>
        <v/>
      </c>
      <c r="BA96" s="11" t="str">
        <f aca="false">IF(AX96="","",AX96-N(AZ96)-N(BC96))</f>
        <v/>
      </c>
      <c r="BB96" s="11" t="str">
        <f aca="false">IF(AX96="","",BA96-N(AR96))</f>
        <v/>
      </c>
      <c r="BC96" s="11"/>
      <c r="BD96" s="11"/>
      <c r="BE96" s="11" t="str">
        <f aca="false">IF(AX96="","",AX96-N(BD96))</f>
        <v/>
      </c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1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1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 t="str">
        <f aca="false">IF(U97="","",ROUND(U97/2.54,1))</f>
        <v/>
      </c>
      <c r="Y97" s="7" t="str">
        <f aca="false">IF(V97="","",ROUND(V97/2.54,1))</f>
        <v/>
      </c>
      <c r="Z97" s="7" t="str">
        <f aca="false">IF(W97="","",ROUND(W97/2.54,1))</f>
        <v/>
      </c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8"/>
      <c r="AO97" s="8"/>
      <c r="AP97" s="8"/>
      <c r="AQ97" s="8"/>
      <c r="AR97" s="8" t="str">
        <f aca="false">IF(COUNT(AN97,AO97,AP97,AQ97)=0,"",SUM(AN97:AQ97))</f>
        <v/>
      </c>
      <c r="AS97" s="7"/>
      <c r="AT97" s="7"/>
      <c r="AU97" s="8"/>
      <c r="AV97" s="8" t="str">
        <f aca="false">IF(OR(AU97="",U97="",V97=""),"",AU97/(U97*V97))</f>
        <v/>
      </c>
      <c r="AW97" s="9"/>
      <c r="AX97" s="8"/>
      <c r="AY97" s="9"/>
      <c r="AZ97" s="8" t="str">
        <f aca="false">IF(OR(AX97="",AY97=""),"",AX97*AY97)</f>
        <v/>
      </c>
      <c r="BA97" s="8" t="str">
        <f aca="false">IF(AX97="","",AX97-N(AZ97)-N(BC97))</f>
        <v/>
      </c>
      <c r="BB97" s="8" t="str">
        <f aca="false">IF(AX97="","",BA97-N(AR97))</f>
        <v/>
      </c>
      <c r="BC97" s="8"/>
      <c r="BD97" s="8"/>
      <c r="BE97" s="8" t="str">
        <f aca="false">IF(AX97="","",AX97-N(BD97))</f>
        <v/>
      </c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8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8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 t="str">
        <f aca="false">IF(U98="","",ROUND(U98/2.54,1))</f>
        <v/>
      </c>
      <c r="Y98" s="10" t="str">
        <f aca="false">IF(V98="","",ROUND(V98/2.54,1))</f>
        <v/>
      </c>
      <c r="Z98" s="10" t="str">
        <f aca="false">IF(W98="","",ROUND(W98/2.54,1))</f>
        <v/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1"/>
      <c r="AO98" s="11"/>
      <c r="AP98" s="11"/>
      <c r="AQ98" s="11"/>
      <c r="AR98" s="11" t="str">
        <f aca="false">IF(COUNT(AN98,AO98,AP98,AQ98)=0,"",SUM(AN98:AQ98))</f>
        <v/>
      </c>
      <c r="AS98" s="10"/>
      <c r="AT98" s="10"/>
      <c r="AU98" s="11"/>
      <c r="AV98" s="11" t="str">
        <f aca="false">IF(OR(AU98="",U98="",V98=""),"",AU98/(U98*V98))</f>
        <v/>
      </c>
      <c r="AW98" s="12"/>
      <c r="AX98" s="11"/>
      <c r="AY98" s="12"/>
      <c r="AZ98" s="11" t="str">
        <f aca="false">IF(OR(AX98="",AY98=""),"",AX98*AY98)</f>
        <v/>
      </c>
      <c r="BA98" s="11" t="str">
        <f aca="false">IF(AX98="","",AX98-N(AZ98)-N(BC98))</f>
        <v/>
      </c>
      <c r="BB98" s="11" t="str">
        <f aca="false">IF(AX98="","",BA98-N(AR98))</f>
        <v/>
      </c>
      <c r="BC98" s="11"/>
      <c r="BD98" s="11"/>
      <c r="BE98" s="11" t="str">
        <f aca="false">IF(AX98="","",AX98-N(BD98))</f>
        <v/>
      </c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1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1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 t="str">
        <f aca="false">IF(U99="","",ROUND(U99/2.54,1))</f>
        <v/>
      </c>
      <c r="Y99" s="7" t="str">
        <f aca="false">IF(V99="","",ROUND(V99/2.54,1))</f>
        <v/>
      </c>
      <c r="Z99" s="7" t="str">
        <f aca="false">IF(W99="","",ROUND(W99/2.54,1))</f>
        <v/>
      </c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8"/>
      <c r="AO99" s="8"/>
      <c r="AP99" s="8"/>
      <c r="AQ99" s="8"/>
      <c r="AR99" s="8" t="str">
        <f aca="false">IF(COUNT(AN99,AO99,AP99,AQ99)=0,"",SUM(AN99:AQ99))</f>
        <v/>
      </c>
      <c r="AS99" s="7"/>
      <c r="AT99" s="7"/>
      <c r="AU99" s="8"/>
      <c r="AV99" s="8" t="str">
        <f aca="false">IF(OR(AU99="",U99="",V99=""),"",AU99/(U99*V99))</f>
        <v/>
      </c>
      <c r="AW99" s="9"/>
      <c r="AX99" s="8"/>
      <c r="AY99" s="9"/>
      <c r="AZ99" s="8" t="str">
        <f aca="false">IF(OR(AX99="",AY99=""),"",AX99*AY99)</f>
        <v/>
      </c>
      <c r="BA99" s="8" t="str">
        <f aca="false">IF(AX99="","",AX99-N(AZ99)-N(BC99))</f>
        <v/>
      </c>
      <c r="BB99" s="8" t="str">
        <f aca="false">IF(AX99="","",BA99-N(AR99))</f>
        <v/>
      </c>
      <c r="BC99" s="8"/>
      <c r="BD99" s="8"/>
      <c r="BE99" s="8" t="str">
        <f aca="false">IF(AX99="","",AX99-N(BD99))</f>
        <v/>
      </c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8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8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 t="str">
        <f aca="false">IF(U100="","",ROUND(U100/2.54,1))</f>
        <v/>
      </c>
      <c r="Y100" s="10" t="str">
        <f aca="false">IF(V100="","",ROUND(V100/2.54,1))</f>
        <v/>
      </c>
      <c r="Z100" s="10" t="str">
        <f aca="false">IF(W100="","",ROUND(W100/2.54,1))</f>
        <v/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1"/>
      <c r="AO100" s="11"/>
      <c r="AP100" s="11"/>
      <c r="AQ100" s="11"/>
      <c r="AR100" s="11" t="str">
        <f aca="false">IF(COUNT(AN100,AO100,AP100,AQ100)=0,"",SUM(AN100:AQ100))</f>
        <v/>
      </c>
      <c r="AS100" s="10"/>
      <c r="AT100" s="10"/>
      <c r="AU100" s="11"/>
      <c r="AV100" s="11" t="str">
        <f aca="false">IF(OR(AU100="",U100="",V100=""),"",AU100/(U100*V100))</f>
        <v/>
      </c>
      <c r="AW100" s="12"/>
      <c r="AX100" s="11"/>
      <c r="AY100" s="12"/>
      <c r="AZ100" s="11" t="str">
        <f aca="false">IF(OR(AX100="",AY100=""),"",AX100*AY100)</f>
        <v/>
      </c>
      <c r="BA100" s="11" t="str">
        <f aca="false">IF(AX100="","",AX100-N(AZ100)-N(BC100))</f>
        <v/>
      </c>
      <c r="BB100" s="11" t="str">
        <f aca="false">IF(AX100="","",BA100-N(AR100))</f>
        <v/>
      </c>
      <c r="BC100" s="11"/>
      <c r="BD100" s="11"/>
      <c r="BE100" s="11" t="str">
        <f aca="false">IF(AX100="","",AX100-N(BD100))</f>
        <v/>
      </c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1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1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 t="str">
        <f aca="false">IF(U101="","",ROUND(U101/2.54,1))</f>
        <v/>
      </c>
      <c r="Y101" s="7" t="str">
        <f aca="false">IF(V101="","",ROUND(V101/2.54,1))</f>
        <v/>
      </c>
      <c r="Z101" s="7" t="str">
        <f aca="false">IF(W101="","",ROUND(W101/2.54,1))</f>
        <v/>
      </c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8"/>
      <c r="AO101" s="8"/>
      <c r="AP101" s="8"/>
      <c r="AQ101" s="8"/>
      <c r="AR101" s="8" t="str">
        <f aca="false">IF(COUNT(AN101,AO101,AP101,AQ101)=0,"",SUM(AN101:AQ101))</f>
        <v/>
      </c>
      <c r="AS101" s="7"/>
      <c r="AT101" s="7"/>
      <c r="AU101" s="8"/>
      <c r="AV101" s="8" t="str">
        <f aca="false">IF(OR(AU101="",U101="",V101=""),"",AU101/(U101*V101))</f>
        <v/>
      </c>
      <c r="AW101" s="9"/>
      <c r="AX101" s="8"/>
      <c r="AY101" s="9"/>
      <c r="AZ101" s="8" t="str">
        <f aca="false">IF(OR(AX101="",AY101=""),"",AX101*AY101)</f>
        <v/>
      </c>
      <c r="BA101" s="8" t="str">
        <f aca="false">IF(AX101="","",AX101-N(AZ101)-N(BC101))</f>
        <v/>
      </c>
      <c r="BB101" s="8" t="str">
        <f aca="false">IF(AX101="","",BA101-N(AR101))</f>
        <v/>
      </c>
      <c r="BC101" s="8"/>
      <c r="BD101" s="8"/>
      <c r="BE101" s="8" t="str">
        <f aca="false">IF(AX101="","",AX101-N(BD101))</f>
        <v/>
      </c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8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8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 t="str">
        <f aca="false">IF(U102="","",ROUND(U102/2.54,1))</f>
        <v/>
      </c>
      <c r="Y102" s="10" t="str">
        <f aca="false">IF(V102="","",ROUND(V102/2.54,1))</f>
        <v/>
      </c>
      <c r="Z102" s="10" t="str">
        <f aca="false">IF(W102="","",ROUND(W102/2.54,1))</f>
        <v/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1"/>
      <c r="AO102" s="11"/>
      <c r="AP102" s="11"/>
      <c r="AQ102" s="11"/>
      <c r="AR102" s="11" t="str">
        <f aca="false">IF(COUNT(AN102,AO102,AP102,AQ102)=0,"",SUM(AN102:AQ102))</f>
        <v/>
      </c>
      <c r="AS102" s="10"/>
      <c r="AT102" s="10"/>
      <c r="AU102" s="11"/>
      <c r="AV102" s="11" t="str">
        <f aca="false">IF(OR(AU102="",U102="",V102=""),"",AU102/(U102*V102))</f>
        <v/>
      </c>
      <c r="AW102" s="12"/>
      <c r="AX102" s="11"/>
      <c r="AY102" s="12"/>
      <c r="AZ102" s="11" t="str">
        <f aca="false">IF(OR(AX102="",AY102=""),"",AX102*AY102)</f>
        <v/>
      </c>
      <c r="BA102" s="11" t="str">
        <f aca="false">IF(AX102="","",AX102-N(AZ102)-N(BC102))</f>
        <v/>
      </c>
      <c r="BB102" s="11" t="str">
        <f aca="false">IF(AX102="","",BA102-N(AR102))</f>
        <v/>
      </c>
      <c r="BC102" s="11"/>
      <c r="BD102" s="11"/>
      <c r="BE102" s="11" t="str">
        <f aca="false">IF(AX102="","",AX102-N(BD102))</f>
        <v/>
      </c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1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1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 t="str">
        <f aca="false">IF(U103="","",ROUND(U103/2.54,1))</f>
        <v/>
      </c>
      <c r="Y103" s="7" t="str">
        <f aca="false">IF(V103="","",ROUND(V103/2.54,1))</f>
        <v/>
      </c>
      <c r="Z103" s="7" t="str">
        <f aca="false">IF(W103="","",ROUND(W103/2.54,1))</f>
        <v/>
      </c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8"/>
      <c r="AO103" s="8"/>
      <c r="AP103" s="8"/>
      <c r="AQ103" s="8"/>
      <c r="AR103" s="8" t="str">
        <f aca="false">IF(COUNT(AN103,AO103,AP103,AQ103)=0,"",SUM(AN103:AQ103))</f>
        <v/>
      </c>
      <c r="AS103" s="7"/>
      <c r="AT103" s="7"/>
      <c r="AU103" s="8"/>
      <c r="AV103" s="8" t="str">
        <f aca="false">IF(OR(AU103="",U103="",V103=""),"",AU103/(U103*V103))</f>
        <v/>
      </c>
      <c r="AW103" s="9"/>
      <c r="AX103" s="8"/>
      <c r="AY103" s="9"/>
      <c r="AZ103" s="8" t="str">
        <f aca="false">IF(OR(AX103="",AY103=""),"",AX103*AY103)</f>
        <v/>
      </c>
      <c r="BA103" s="8" t="str">
        <f aca="false">IF(AX103="","",AX103-N(AZ103)-N(BC103))</f>
        <v/>
      </c>
      <c r="BB103" s="8" t="str">
        <f aca="false">IF(AX103="","",BA103-N(AR103))</f>
        <v/>
      </c>
      <c r="BC103" s="8"/>
      <c r="BD103" s="8"/>
      <c r="BE103" s="8" t="str">
        <f aca="false">IF(AX103="","",AX103-N(BD103))</f>
        <v/>
      </c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8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8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 t="str">
        <f aca="false">IF(U104="","",ROUND(U104/2.54,1))</f>
        <v/>
      </c>
      <c r="Y104" s="10" t="str">
        <f aca="false">IF(V104="","",ROUND(V104/2.54,1))</f>
        <v/>
      </c>
      <c r="Z104" s="10" t="str">
        <f aca="false">IF(W104="","",ROUND(W104/2.54,1))</f>
        <v/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1"/>
      <c r="AO104" s="11"/>
      <c r="AP104" s="11"/>
      <c r="AQ104" s="11"/>
      <c r="AR104" s="11" t="str">
        <f aca="false">IF(COUNT(AN104,AO104,AP104,AQ104)=0,"",SUM(AN104:AQ104))</f>
        <v/>
      </c>
      <c r="AS104" s="10"/>
      <c r="AT104" s="10"/>
      <c r="AU104" s="11"/>
      <c r="AV104" s="11" t="str">
        <f aca="false">IF(OR(AU104="",U104="",V104=""),"",AU104/(U104*V104))</f>
        <v/>
      </c>
      <c r="AW104" s="12"/>
      <c r="AX104" s="11"/>
      <c r="AY104" s="12"/>
      <c r="AZ104" s="11" t="str">
        <f aca="false">IF(OR(AX104="",AY104=""),"",AX104*AY104)</f>
        <v/>
      </c>
      <c r="BA104" s="11" t="str">
        <f aca="false">IF(AX104="","",AX104-N(AZ104)-N(BC104))</f>
        <v/>
      </c>
      <c r="BB104" s="11" t="str">
        <f aca="false">IF(AX104="","",BA104-N(AR104))</f>
        <v/>
      </c>
      <c r="BC104" s="11"/>
      <c r="BD104" s="11"/>
      <c r="BE104" s="11" t="str">
        <f aca="false">IF(AX104="","",AX104-N(BD104))</f>
        <v/>
      </c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1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1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 t="str">
        <f aca="false">IF(U105="","",ROUND(U105/2.54,1))</f>
        <v/>
      </c>
      <c r="Y105" s="7" t="str">
        <f aca="false">IF(V105="","",ROUND(V105/2.54,1))</f>
        <v/>
      </c>
      <c r="Z105" s="7" t="str">
        <f aca="false">IF(W105="","",ROUND(W105/2.54,1))</f>
        <v/>
      </c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8"/>
      <c r="AO105" s="8"/>
      <c r="AP105" s="8"/>
      <c r="AQ105" s="8"/>
      <c r="AR105" s="8" t="str">
        <f aca="false">IF(COUNT(AN105,AO105,AP105,AQ105)=0,"",SUM(AN105:AQ105))</f>
        <v/>
      </c>
      <c r="AS105" s="7"/>
      <c r="AT105" s="7"/>
      <c r="AU105" s="8"/>
      <c r="AV105" s="8" t="str">
        <f aca="false">IF(OR(AU105="",U105="",V105=""),"",AU105/(U105*V105))</f>
        <v/>
      </c>
      <c r="AW105" s="9"/>
      <c r="AX105" s="8"/>
      <c r="AY105" s="9"/>
      <c r="AZ105" s="8" t="str">
        <f aca="false">IF(OR(AX105="",AY105=""),"",AX105*AY105)</f>
        <v/>
      </c>
      <c r="BA105" s="8" t="str">
        <f aca="false">IF(AX105="","",AX105-N(AZ105)-N(BC105))</f>
        <v/>
      </c>
      <c r="BB105" s="8" t="str">
        <f aca="false">IF(AX105="","",BA105-N(AR105))</f>
        <v/>
      </c>
      <c r="BC105" s="8"/>
      <c r="BD105" s="8"/>
      <c r="BE105" s="8" t="str">
        <f aca="false">IF(AX105="","",AX105-N(BD105))</f>
        <v/>
      </c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8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8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</row>
    <row r="106" customFormat="false" ht="15" hidden="false" customHeight="fals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 t="str">
        <f aca="false">IF(U106="","",ROUND(U106/2.54,1))</f>
        <v/>
      </c>
      <c r="Y106" s="10" t="str">
        <f aca="false">IF(V106="","",ROUND(V106/2.54,1))</f>
        <v/>
      </c>
      <c r="Z106" s="10" t="str">
        <f aca="false">IF(W106="","",ROUND(W106/2.54,1))</f>
        <v/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1"/>
      <c r="AO106" s="11"/>
      <c r="AP106" s="11"/>
      <c r="AQ106" s="11"/>
      <c r="AR106" s="11" t="str">
        <f aca="false">IF(COUNT(AN106,AO106,AP106,AQ106)=0,"",SUM(AN106:AQ106))</f>
        <v/>
      </c>
      <c r="AS106" s="10"/>
      <c r="AT106" s="10"/>
      <c r="AU106" s="11"/>
      <c r="AV106" s="11" t="str">
        <f aca="false">IF(OR(AU106="",U106="",V106=""),"",AU106/(U106*V106))</f>
        <v/>
      </c>
      <c r="AW106" s="12"/>
      <c r="AX106" s="11"/>
      <c r="AY106" s="12"/>
      <c r="AZ106" s="11" t="str">
        <f aca="false">IF(OR(AX106="",AY106=""),"",AX106*AY106)</f>
        <v/>
      </c>
      <c r="BA106" s="11" t="str">
        <f aca="false">IF(AX106="","",AX106-N(AZ106)-N(BC106))</f>
        <v/>
      </c>
      <c r="BB106" s="11" t="str">
        <f aca="false">IF(AX106="","",BA106-N(AR106))</f>
        <v/>
      </c>
      <c r="BC106" s="11"/>
      <c r="BD106" s="11"/>
      <c r="BE106" s="11" t="str">
        <f aca="false">IF(AX106="","",AX106-N(BD106))</f>
        <v/>
      </c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1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1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 t="str">
        <f aca="false">IF(U107="","",ROUND(U107/2.54,1))</f>
        <v/>
      </c>
      <c r="Y107" s="7" t="str">
        <f aca="false">IF(V107="","",ROUND(V107/2.54,1))</f>
        <v/>
      </c>
      <c r="Z107" s="7" t="str">
        <f aca="false">IF(W107="","",ROUND(W107/2.54,1))</f>
        <v/>
      </c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8"/>
      <c r="AO107" s="8"/>
      <c r="AP107" s="8"/>
      <c r="AQ107" s="8"/>
      <c r="AR107" s="8" t="str">
        <f aca="false">IF(COUNT(AN107,AO107,AP107,AQ107)=0,"",SUM(AN107:AQ107))</f>
        <v/>
      </c>
      <c r="AS107" s="7"/>
      <c r="AT107" s="7"/>
      <c r="AU107" s="8"/>
      <c r="AV107" s="8" t="str">
        <f aca="false">IF(OR(AU107="",U107="",V107=""),"",AU107/(U107*V107))</f>
        <v/>
      </c>
      <c r="AW107" s="9"/>
      <c r="AX107" s="8"/>
      <c r="AY107" s="9"/>
      <c r="AZ107" s="8" t="str">
        <f aca="false">IF(OR(AX107="",AY107=""),"",AX107*AY107)</f>
        <v/>
      </c>
      <c r="BA107" s="8" t="str">
        <f aca="false">IF(AX107="","",AX107-N(AZ107)-N(BC107))</f>
        <v/>
      </c>
      <c r="BB107" s="8" t="str">
        <f aca="false">IF(AX107="","",BA107-N(AR107))</f>
        <v/>
      </c>
      <c r="BC107" s="8"/>
      <c r="BD107" s="8"/>
      <c r="BE107" s="8" t="str">
        <f aca="false">IF(AX107="","",AX107-N(BD107))</f>
        <v/>
      </c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8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8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</row>
    <row r="108" customFormat="false" ht="15" hidden="false" customHeight="fals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 t="str">
        <f aca="false">IF(U108="","",ROUND(U108/2.54,1))</f>
        <v/>
      </c>
      <c r="Y108" s="10" t="str">
        <f aca="false">IF(V108="","",ROUND(V108/2.54,1))</f>
        <v/>
      </c>
      <c r="Z108" s="10" t="str">
        <f aca="false">IF(W108="","",ROUND(W108/2.54,1))</f>
        <v/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1"/>
      <c r="AO108" s="11"/>
      <c r="AP108" s="11"/>
      <c r="AQ108" s="11"/>
      <c r="AR108" s="11" t="str">
        <f aca="false">IF(COUNT(AN108,AO108,AP108,AQ108)=0,"",SUM(AN108:AQ108))</f>
        <v/>
      </c>
      <c r="AS108" s="10"/>
      <c r="AT108" s="10"/>
      <c r="AU108" s="11"/>
      <c r="AV108" s="11" t="str">
        <f aca="false">IF(OR(AU108="",U108="",V108=""),"",AU108/(U108*V108))</f>
        <v/>
      </c>
      <c r="AW108" s="12"/>
      <c r="AX108" s="11"/>
      <c r="AY108" s="12"/>
      <c r="AZ108" s="11" t="str">
        <f aca="false">IF(OR(AX108="",AY108=""),"",AX108*AY108)</f>
        <v/>
      </c>
      <c r="BA108" s="11" t="str">
        <f aca="false">IF(AX108="","",AX108-N(AZ108)-N(BC108))</f>
        <v/>
      </c>
      <c r="BB108" s="11" t="str">
        <f aca="false">IF(AX108="","",BA108-N(AR108))</f>
        <v/>
      </c>
      <c r="BC108" s="11"/>
      <c r="BD108" s="11"/>
      <c r="BE108" s="11" t="str">
        <f aca="false">IF(AX108="","",AX108-N(BD108))</f>
        <v/>
      </c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1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1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 t="str">
        <f aca="false">IF(U109="","",ROUND(U109/2.54,1))</f>
        <v/>
      </c>
      <c r="Y109" s="7" t="str">
        <f aca="false">IF(V109="","",ROUND(V109/2.54,1))</f>
        <v/>
      </c>
      <c r="Z109" s="7" t="str">
        <f aca="false">IF(W109="","",ROUND(W109/2.54,1))</f>
        <v/>
      </c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8"/>
      <c r="AO109" s="8"/>
      <c r="AP109" s="8"/>
      <c r="AQ109" s="8"/>
      <c r="AR109" s="8" t="str">
        <f aca="false">IF(COUNT(AN109,AO109,AP109,AQ109)=0,"",SUM(AN109:AQ109))</f>
        <v/>
      </c>
      <c r="AS109" s="7"/>
      <c r="AT109" s="7"/>
      <c r="AU109" s="8"/>
      <c r="AV109" s="8" t="str">
        <f aca="false">IF(OR(AU109="",U109="",V109=""),"",AU109/(U109*V109))</f>
        <v/>
      </c>
      <c r="AW109" s="9"/>
      <c r="AX109" s="8"/>
      <c r="AY109" s="9"/>
      <c r="AZ109" s="8" t="str">
        <f aca="false">IF(OR(AX109="",AY109=""),"",AX109*AY109)</f>
        <v/>
      </c>
      <c r="BA109" s="8" t="str">
        <f aca="false">IF(AX109="","",AX109-N(AZ109)-N(BC109))</f>
        <v/>
      </c>
      <c r="BB109" s="8" t="str">
        <f aca="false">IF(AX109="","",BA109-N(AR109))</f>
        <v/>
      </c>
      <c r="BC109" s="8"/>
      <c r="BD109" s="8"/>
      <c r="BE109" s="8" t="str">
        <f aca="false">IF(AX109="","",AX109-N(BD109))</f>
        <v/>
      </c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8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8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</row>
    <row r="110" customFormat="false" ht="15" hidden="false" customHeight="fals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 t="str">
        <f aca="false">IF(U110="","",ROUND(U110/2.54,1))</f>
        <v/>
      </c>
      <c r="Y110" s="10" t="str">
        <f aca="false">IF(V110="","",ROUND(V110/2.54,1))</f>
        <v/>
      </c>
      <c r="Z110" s="10" t="str">
        <f aca="false">IF(W110="","",ROUND(W110/2.54,1))</f>
        <v/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1"/>
      <c r="AO110" s="11"/>
      <c r="AP110" s="11"/>
      <c r="AQ110" s="11"/>
      <c r="AR110" s="11" t="str">
        <f aca="false">IF(COUNT(AN110,AO110,AP110,AQ110)=0,"",SUM(AN110:AQ110))</f>
        <v/>
      </c>
      <c r="AS110" s="10"/>
      <c r="AT110" s="10"/>
      <c r="AU110" s="11"/>
      <c r="AV110" s="11" t="str">
        <f aca="false">IF(OR(AU110="",U110="",V110=""),"",AU110/(U110*V110))</f>
        <v/>
      </c>
      <c r="AW110" s="12"/>
      <c r="AX110" s="11"/>
      <c r="AY110" s="12"/>
      <c r="AZ110" s="11" t="str">
        <f aca="false">IF(OR(AX110="",AY110=""),"",AX110*AY110)</f>
        <v/>
      </c>
      <c r="BA110" s="11" t="str">
        <f aca="false">IF(AX110="","",AX110-N(AZ110)-N(BC110))</f>
        <v/>
      </c>
      <c r="BB110" s="11" t="str">
        <f aca="false">IF(AX110="","",BA110-N(AR110))</f>
        <v/>
      </c>
      <c r="BC110" s="11"/>
      <c r="BD110" s="11"/>
      <c r="BE110" s="11" t="str">
        <f aca="false">IF(AX110="","",AX110-N(BD110))</f>
        <v/>
      </c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1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1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 t="str">
        <f aca="false">IF(U111="","",ROUND(U111/2.54,1))</f>
        <v/>
      </c>
      <c r="Y111" s="7" t="str">
        <f aca="false">IF(V111="","",ROUND(V111/2.54,1))</f>
        <v/>
      </c>
      <c r="Z111" s="7" t="str">
        <f aca="false">IF(W111="","",ROUND(W111/2.54,1))</f>
        <v/>
      </c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8"/>
      <c r="AO111" s="8"/>
      <c r="AP111" s="8"/>
      <c r="AQ111" s="8"/>
      <c r="AR111" s="8" t="str">
        <f aca="false">IF(COUNT(AN111,AO111,AP111,AQ111)=0,"",SUM(AN111:AQ111))</f>
        <v/>
      </c>
      <c r="AS111" s="7"/>
      <c r="AT111" s="7"/>
      <c r="AU111" s="8"/>
      <c r="AV111" s="8" t="str">
        <f aca="false">IF(OR(AU111="",U111="",V111=""),"",AU111/(U111*V111))</f>
        <v/>
      </c>
      <c r="AW111" s="9"/>
      <c r="AX111" s="8"/>
      <c r="AY111" s="9"/>
      <c r="AZ111" s="8" t="str">
        <f aca="false">IF(OR(AX111="",AY111=""),"",AX111*AY111)</f>
        <v/>
      </c>
      <c r="BA111" s="8" t="str">
        <f aca="false">IF(AX111="","",AX111-N(AZ111)-N(BC111))</f>
        <v/>
      </c>
      <c r="BB111" s="8" t="str">
        <f aca="false">IF(AX111="","",BA111-N(AR111))</f>
        <v/>
      </c>
      <c r="BC111" s="8"/>
      <c r="BD111" s="8"/>
      <c r="BE111" s="8" t="str">
        <f aca="false">IF(AX111="","",AX111-N(BD111))</f>
        <v/>
      </c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8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8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</row>
    <row r="112" customFormat="false" ht="15" hidden="false" customHeight="fals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 t="str">
        <f aca="false">IF(U112="","",ROUND(U112/2.54,1))</f>
        <v/>
      </c>
      <c r="Y112" s="10" t="str">
        <f aca="false">IF(V112="","",ROUND(V112/2.54,1))</f>
        <v/>
      </c>
      <c r="Z112" s="10" t="str">
        <f aca="false">IF(W112="","",ROUND(W112/2.54,1))</f>
        <v/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1"/>
      <c r="AO112" s="11"/>
      <c r="AP112" s="11"/>
      <c r="AQ112" s="11"/>
      <c r="AR112" s="11" t="str">
        <f aca="false">IF(COUNT(AN112,AO112,AP112,AQ112)=0,"",SUM(AN112:AQ112))</f>
        <v/>
      </c>
      <c r="AS112" s="10"/>
      <c r="AT112" s="10"/>
      <c r="AU112" s="11"/>
      <c r="AV112" s="11" t="str">
        <f aca="false">IF(OR(AU112="",U112="",V112=""),"",AU112/(U112*V112))</f>
        <v/>
      </c>
      <c r="AW112" s="12"/>
      <c r="AX112" s="11"/>
      <c r="AY112" s="12"/>
      <c r="AZ112" s="11" t="str">
        <f aca="false">IF(OR(AX112="",AY112=""),"",AX112*AY112)</f>
        <v/>
      </c>
      <c r="BA112" s="11" t="str">
        <f aca="false">IF(AX112="","",AX112-N(AZ112)-N(BC112))</f>
        <v/>
      </c>
      <c r="BB112" s="11" t="str">
        <f aca="false">IF(AX112="","",BA112-N(AR112))</f>
        <v/>
      </c>
      <c r="BC112" s="11"/>
      <c r="BD112" s="11"/>
      <c r="BE112" s="11" t="str">
        <f aca="false">IF(AX112="","",AX112-N(BD112))</f>
        <v/>
      </c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1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1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 t="str">
        <f aca="false">IF(U113="","",ROUND(U113/2.54,1))</f>
        <v/>
      </c>
      <c r="Y113" s="7" t="str">
        <f aca="false">IF(V113="","",ROUND(V113/2.54,1))</f>
        <v/>
      </c>
      <c r="Z113" s="7" t="str">
        <f aca="false">IF(W113="","",ROUND(W113/2.54,1))</f>
        <v/>
      </c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8"/>
      <c r="AO113" s="8"/>
      <c r="AP113" s="8"/>
      <c r="AQ113" s="8"/>
      <c r="AR113" s="8" t="str">
        <f aca="false">IF(COUNT(AN113,AO113,AP113,AQ113)=0,"",SUM(AN113:AQ113))</f>
        <v/>
      </c>
      <c r="AS113" s="7"/>
      <c r="AT113" s="7"/>
      <c r="AU113" s="8"/>
      <c r="AV113" s="8" t="str">
        <f aca="false">IF(OR(AU113="",U113="",V113=""),"",AU113/(U113*V113))</f>
        <v/>
      </c>
      <c r="AW113" s="9"/>
      <c r="AX113" s="8"/>
      <c r="AY113" s="9"/>
      <c r="AZ113" s="8" t="str">
        <f aca="false">IF(OR(AX113="",AY113=""),"",AX113*AY113)</f>
        <v/>
      </c>
      <c r="BA113" s="8" t="str">
        <f aca="false">IF(AX113="","",AX113-N(AZ113)-N(BC113))</f>
        <v/>
      </c>
      <c r="BB113" s="8" t="str">
        <f aca="false">IF(AX113="","",BA113-N(AR113))</f>
        <v/>
      </c>
      <c r="BC113" s="8"/>
      <c r="BD113" s="8"/>
      <c r="BE113" s="8" t="str">
        <f aca="false">IF(AX113="","",AX113-N(BD113))</f>
        <v/>
      </c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8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8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</row>
    <row r="114" customFormat="false" ht="15" hidden="false" customHeight="fals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 t="str">
        <f aca="false">IF(U114="","",ROUND(U114/2.54,1))</f>
        <v/>
      </c>
      <c r="Y114" s="10" t="str">
        <f aca="false">IF(V114="","",ROUND(V114/2.54,1))</f>
        <v/>
      </c>
      <c r="Z114" s="10" t="str">
        <f aca="false">IF(W114="","",ROUND(W114/2.54,1))</f>
        <v/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1"/>
      <c r="AO114" s="11"/>
      <c r="AP114" s="11"/>
      <c r="AQ114" s="11"/>
      <c r="AR114" s="11" t="str">
        <f aca="false">IF(COUNT(AN114,AO114,AP114,AQ114)=0,"",SUM(AN114:AQ114))</f>
        <v/>
      </c>
      <c r="AS114" s="10"/>
      <c r="AT114" s="10"/>
      <c r="AU114" s="11"/>
      <c r="AV114" s="11" t="str">
        <f aca="false">IF(OR(AU114="",U114="",V114=""),"",AU114/(U114*V114))</f>
        <v/>
      </c>
      <c r="AW114" s="12"/>
      <c r="AX114" s="11"/>
      <c r="AY114" s="12"/>
      <c r="AZ114" s="11" t="str">
        <f aca="false">IF(OR(AX114="",AY114=""),"",AX114*AY114)</f>
        <v/>
      </c>
      <c r="BA114" s="11" t="str">
        <f aca="false">IF(AX114="","",AX114-N(AZ114)-N(BC114))</f>
        <v/>
      </c>
      <c r="BB114" s="11" t="str">
        <f aca="false">IF(AX114="","",BA114-N(AR114))</f>
        <v/>
      </c>
      <c r="BC114" s="11"/>
      <c r="BD114" s="11"/>
      <c r="BE114" s="11" t="str">
        <f aca="false">IF(AX114="","",AX114-N(BD114))</f>
        <v/>
      </c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1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1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 t="str">
        <f aca="false">IF(U115="","",ROUND(U115/2.54,1))</f>
        <v/>
      </c>
      <c r="Y115" s="7" t="str">
        <f aca="false">IF(V115="","",ROUND(V115/2.54,1))</f>
        <v/>
      </c>
      <c r="Z115" s="7" t="str">
        <f aca="false">IF(W115="","",ROUND(W115/2.54,1))</f>
        <v/>
      </c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8"/>
      <c r="AO115" s="8"/>
      <c r="AP115" s="8"/>
      <c r="AQ115" s="8"/>
      <c r="AR115" s="8" t="str">
        <f aca="false">IF(COUNT(AN115,AO115,AP115,AQ115)=0,"",SUM(AN115:AQ115))</f>
        <v/>
      </c>
      <c r="AS115" s="7"/>
      <c r="AT115" s="7"/>
      <c r="AU115" s="8"/>
      <c r="AV115" s="8" t="str">
        <f aca="false">IF(OR(AU115="",U115="",V115=""),"",AU115/(U115*V115))</f>
        <v/>
      </c>
      <c r="AW115" s="9"/>
      <c r="AX115" s="8"/>
      <c r="AY115" s="9"/>
      <c r="AZ115" s="8" t="str">
        <f aca="false">IF(OR(AX115="",AY115=""),"",AX115*AY115)</f>
        <v/>
      </c>
      <c r="BA115" s="8" t="str">
        <f aca="false">IF(AX115="","",AX115-N(AZ115)-N(BC115))</f>
        <v/>
      </c>
      <c r="BB115" s="8" t="str">
        <f aca="false">IF(AX115="","",BA115-N(AR115))</f>
        <v/>
      </c>
      <c r="BC115" s="8"/>
      <c r="BD115" s="8"/>
      <c r="BE115" s="8" t="str">
        <f aca="false">IF(AX115="","",AX115-N(BD115))</f>
        <v/>
      </c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8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8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</row>
    <row r="116" customFormat="false" ht="15" hidden="false" customHeight="fals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 t="str">
        <f aca="false">IF(U116="","",ROUND(U116/2.54,1))</f>
        <v/>
      </c>
      <c r="Y116" s="10" t="str">
        <f aca="false">IF(V116="","",ROUND(V116/2.54,1))</f>
        <v/>
      </c>
      <c r="Z116" s="10" t="str">
        <f aca="false">IF(W116="","",ROUND(W116/2.54,1))</f>
        <v/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1"/>
      <c r="AO116" s="11"/>
      <c r="AP116" s="11"/>
      <c r="AQ116" s="11"/>
      <c r="AR116" s="11" t="str">
        <f aca="false">IF(COUNT(AN116,AO116,AP116,AQ116)=0,"",SUM(AN116:AQ116))</f>
        <v/>
      </c>
      <c r="AS116" s="10"/>
      <c r="AT116" s="10"/>
      <c r="AU116" s="11"/>
      <c r="AV116" s="11" t="str">
        <f aca="false">IF(OR(AU116="",U116="",V116=""),"",AU116/(U116*V116))</f>
        <v/>
      </c>
      <c r="AW116" s="12"/>
      <c r="AX116" s="11"/>
      <c r="AY116" s="12"/>
      <c r="AZ116" s="11" t="str">
        <f aca="false">IF(OR(AX116="",AY116=""),"",AX116*AY116)</f>
        <v/>
      </c>
      <c r="BA116" s="11" t="str">
        <f aca="false">IF(AX116="","",AX116-N(AZ116)-N(BC116))</f>
        <v/>
      </c>
      <c r="BB116" s="11" t="str">
        <f aca="false">IF(AX116="","",BA116-N(AR116))</f>
        <v/>
      </c>
      <c r="BC116" s="11"/>
      <c r="BD116" s="11"/>
      <c r="BE116" s="11" t="str">
        <f aca="false">IF(AX116="","",AX116-N(BD116))</f>
        <v/>
      </c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1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1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 t="str">
        <f aca="false">IF(U117="","",ROUND(U117/2.54,1))</f>
        <v/>
      </c>
      <c r="Y117" s="7" t="str">
        <f aca="false">IF(V117="","",ROUND(V117/2.54,1))</f>
        <v/>
      </c>
      <c r="Z117" s="7" t="str">
        <f aca="false">IF(W117="","",ROUND(W117/2.54,1))</f>
        <v/>
      </c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8"/>
      <c r="AO117" s="8"/>
      <c r="AP117" s="8"/>
      <c r="AQ117" s="8"/>
      <c r="AR117" s="8" t="str">
        <f aca="false">IF(COUNT(AN117,AO117,AP117,AQ117)=0,"",SUM(AN117:AQ117))</f>
        <v/>
      </c>
      <c r="AS117" s="7"/>
      <c r="AT117" s="7"/>
      <c r="AU117" s="8"/>
      <c r="AV117" s="8" t="str">
        <f aca="false">IF(OR(AU117="",U117="",V117=""),"",AU117/(U117*V117))</f>
        <v/>
      </c>
      <c r="AW117" s="9"/>
      <c r="AX117" s="8"/>
      <c r="AY117" s="9"/>
      <c r="AZ117" s="8" t="str">
        <f aca="false">IF(OR(AX117="",AY117=""),"",AX117*AY117)</f>
        <v/>
      </c>
      <c r="BA117" s="8" t="str">
        <f aca="false">IF(AX117="","",AX117-N(AZ117)-N(BC117))</f>
        <v/>
      </c>
      <c r="BB117" s="8" t="str">
        <f aca="false">IF(AX117="","",BA117-N(AR117))</f>
        <v/>
      </c>
      <c r="BC117" s="8"/>
      <c r="BD117" s="8"/>
      <c r="BE117" s="8" t="str">
        <f aca="false">IF(AX117="","",AX117-N(BD117))</f>
        <v/>
      </c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8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8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</row>
    <row r="118" customFormat="false" ht="15" hidden="false" customHeight="fals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 t="str">
        <f aca="false">IF(U118="","",ROUND(U118/2.54,1))</f>
        <v/>
      </c>
      <c r="Y118" s="10" t="str">
        <f aca="false">IF(V118="","",ROUND(V118/2.54,1))</f>
        <v/>
      </c>
      <c r="Z118" s="10" t="str">
        <f aca="false">IF(W118="","",ROUND(W118/2.54,1))</f>
        <v/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1"/>
      <c r="AO118" s="11"/>
      <c r="AP118" s="11"/>
      <c r="AQ118" s="11"/>
      <c r="AR118" s="11" t="str">
        <f aca="false">IF(COUNT(AN118,AO118,AP118,AQ118)=0,"",SUM(AN118:AQ118))</f>
        <v/>
      </c>
      <c r="AS118" s="10"/>
      <c r="AT118" s="10"/>
      <c r="AU118" s="11"/>
      <c r="AV118" s="11" t="str">
        <f aca="false">IF(OR(AU118="",U118="",V118=""),"",AU118/(U118*V118))</f>
        <v/>
      </c>
      <c r="AW118" s="12"/>
      <c r="AX118" s="11"/>
      <c r="AY118" s="12"/>
      <c r="AZ118" s="11" t="str">
        <f aca="false">IF(OR(AX118="",AY118=""),"",AX118*AY118)</f>
        <v/>
      </c>
      <c r="BA118" s="11" t="str">
        <f aca="false">IF(AX118="","",AX118-N(AZ118)-N(BC118))</f>
        <v/>
      </c>
      <c r="BB118" s="11" t="str">
        <f aca="false">IF(AX118="","",BA118-N(AR118))</f>
        <v/>
      </c>
      <c r="BC118" s="11"/>
      <c r="BD118" s="11"/>
      <c r="BE118" s="11" t="str">
        <f aca="false">IF(AX118="","",AX118-N(BD118))</f>
        <v/>
      </c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1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1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 t="str">
        <f aca="false">IF(U119="","",ROUND(U119/2.54,1))</f>
        <v/>
      </c>
      <c r="Y119" s="7" t="str">
        <f aca="false">IF(V119="","",ROUND(V119/2.54,1))</f>
        <v/>
      </c>
      <c r="Z119" s="7" t="str">
        <f aca="false">IF(W119="","",ROUND(W119/2.54,1))</f>
        <v/>
      </c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8"/>
      <c r="AO119" s="8"/>
      <c r="AP119" s="8"/>
      <c r="AQ119" s="8"/>
      <c r="AR119" s="8" t="str">
        <f aca="false">IF(COUNT(AN119,AO119,AP119,AQ119)=0,"",SUM(AN119:AQ119))</f>
        <v/>
      </c>
      <c r="AS119" s="7"/>
      <c r="AT119" s="7"/>
      <c r="AU119" s="8"/>
      <c r="AV119" s="8" t="str">
        <f aca="false">IF(OR(AU119="",U119="",V119=""),"",AU119/(U119*V119))</f>
        <v/>
      </c>
      <c r="AW119" s="9"/>
      <c r="AX119" s="8"/>
      <c r="AY119" s="9"/>
      <c r="AZ119" s="8" t="str">
        <f aca="false">IF(OR(AX119="",AY119=""),"",AX119*AY119)</f>
        <v/>
      </c>
      <c r="BA119" s="8" t="str">
        <f aca="false">IF(AX119="","",AX119-N(AZ119)-N(BC119))</f>
        <v/>
      </c>
      <c r="BB119" s="8" t="str">
        <f aca="false">IF(AX119="","",BA119-N(AR119))</f>
        <v/>
      </c>
      <c r="BC119" s="8"/>
      <c r="BD119" s="8"/>
      <c r="BE119" s="8" t="str">
        <f aca="false">IF(AX119="","",AX119-N(BD119))</f>
        <v/>
      </c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8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8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</row>
    <row r="120" customFormat="false" ht="15" hidden="false" customHeight="fals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 t="str">
        <f aca="false">IF(U120="","",ROUND(U120/2.54,1))</f>
        <v/>
      </c>
      <c r="Y120" s="10" t="str">
        <f aca="false">IF(V120="","",ROUND(V120/2.54,1))</f>
        <v/>
      </c>
      <c r="Z120" s="10" t="str">
        <f aca="false">IF(W120="","",ROUND(W120/2.54,1))</f>
        <v/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1"/>
      <c r="AO120" s="11"/>
      <c r="AP120" s="11"/>
      <c r="AQ120" s="11"/>
      <c r="AR120" s="11" t="str">
        <f aca="false">IF(COUNT(AN120,AO120,AP120,AQ120)=0,"",SUM(AN120:AQ120))</f>
        <v/>
      </c>
      <c r="AS120" s="10"/>
      <c r="AT120" s="10"/>
      <c r="AU120" s="11"/>
      <c r="AV120" s="11" t="str">
        <f aca="false">IF(OR(AU120="",U120="",V120=""),"",AU120/(U120*V120))</f>
        <v/>
      </c>
      <c r="AW120" s="12"/>
      <c r="AX120" s="11"/>
      <c r="AY120" s="12"/>
      <c r="AZ120" s="11" t="str">
        <f aca="false">IF(OR(AX120="",AY120=""),"",AX120*AY120)</f>
        <v/>
      </c>
      <c r="BA120" s="11" t="str">
        <f aca="false">IF(AX120="","",AX120-N(AZ120)-N(BC120))</f>
        <v/>
      </c>
      <c r="BB120" s="11" t="str">
        <f aca="false">IF(AX120="","",BA120-N(AR120))</f>
        <v/>
      </c>
      <c r="BC120" s="11"/>
      <c r="BD120" s="11"/>
      <c r="BE120" s="11" t="str">
        <f aca="false">IF(AX120="","",AX120-N(BD120))</f>
        <v/>
      </c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1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1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</row>
  </sheetData>
  <mergeCells count="11">
    <mergeCell ref="A1:H1"/>
    <mergeCell ref="I1:T1"/>
    <mergeCell ref="U1:AM1"/>
    <mergeCell ref="AN1:AS1"/>
    <mergeCell ref="AT1:BJ1"/>
    <mergeCell ref="BK1:BT1"/>
    <mergeCell ref="BU1:BZ1"/>
    <mergeCell ref="CA1:CG1"/>
    <mergeCell ref="CH1:CS1"/>
    <mergeCell ref="CT1:DD1"/>
    <mergeCell ref="DE1:DF1"/>
  </mergeCells>
  <dataValidations count="24">
    <dataValidation allowBlank="true" error="Pick a value from the list (or edit the Lists tab)." errorStyle="stop" errorTitle="Invalid entry" operator="between" showDropDown="false" showErrorMessage="false" showInputMessage="false" sqref="H3:H120" type="list">
      <formula1>Lists!$A$3:$A$14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T3:T120" type="list">
      <formula1>Lists!$B$3:$B$6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AG3:AG120" type="list">
      <formula1>Lists!$C$3:$C$8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AT3:AT120" type="list">
      <formula1>Lists!$I$3:$I$8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BL3:BL120" type="list">
      <formula1>Lists!$E$3:$E$12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BJ3:BJ120" type="list">
      <formula1>Lists!$F$3:$F$11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BG3:BG120" type="list">
      <formula1>Lists!$G$3:$G$7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BF3:BF120" type="list">
      <formula1>Lists!$H$3:$H$9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CF3:CF120" type="list">
      <formula1>Lists!$J$3:$J$8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CO3:CO120" type="list">
      <formula1>Lists!$K$3:$K$8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AA3:AA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AJ3:AJ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AL3:AL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CD3:CD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CL3:CL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CM3:CM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CT3:CT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CZ3:CZ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DD3:DD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BR3:BR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BS3:BS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BU3:BU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CS3:CS120" type="list">
      <formula1>Lists!$D$3:$D$4</formula1>
      <formula2>0</formula2>
    </dataValidation>
    <dataValidation allowBlank="true" error="Pick a value from the list (or edit the Lists tab)." errorStyle="stop" errorTitle="Invalid entry" operator="between" showDropDown="false" showErrorMessage="false" showInputMessage="false" sqref="CW3:CW120" type="list">
      <formula1>Lists!$D$3:$D$4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13" t="s">
        <v>186</v>
      </c>
    </row>
    <row r="4" customFormat="false" ht="19.5" hidden="false" customHeight="true" outlineLevel="0" collapsed="false">
      <c r="A4" s="14" t="s">
        <v>187</v>
      </c>
      <c r="B4" s="14" t="s">
        <v>188</v>
      </c>
      <c r="C4" s="14" t="s">
        <v>189</v>
      </c>
      <c r="D4" s="14" t="s">
        <v>190</v>
      </c>
    </row>
    <row r="5" customFormat="false" ht="15" hidden="false" customHeight="false" outlineLevel="0" collapsed="false">
      <c r="A5" s="15" t="n">
        <v>1</v>
      </c>
      <c r="B5" s="16" t="s">
        <v>27</v>
      </c>
      <c r="C5" s="15" t="s">
        <v>16</v>
      </c>
      <c r="D5" s="15" t="s">
        <v>191</v>
      </c>
    </row>
    <row r="6" customFormat="false" ht="15" hidden="false" customHeight="false" outlineLevel="0" collapsed="false">
      <c r="A6" s="17" t="n">
        <v>2</v>
      </c>
      <c r="B6" s="18" t="s">
        <v>28</v>
      </c>
      <c r="C6" s="17" t="s">
        <v>16</v>
      </c>
      <c r="D6" s="17" t="s">
        <v>192</v>
      </c>
    </row>
    <row r="7" customFormat="false" ht="15" hidden="false" customHeight="false" outlineLevel="0" collapsed="false">
      <c r="A7" s="15" t="n">
        <v>3</v>
      </c>
      <c r="B7" s="16" t="s">
        <v>29</v>
      </c>
      <c r="C7" s="15" t="s">
        <v>16</v>
      </c>
      <c r="D7" s="15" t="s">
        <v>193</v>
      </c>
    </row>
    <row r="8" customFormat="false" ht="15" hidden="false" customHeight="false" outlineLevel="0" collapsed="false">
      <c r="A8" s="17" t="n">
        <v>4</v>
      </c>
      <c r="B8" s="18" t="s">
        <v>30</v>
      </c>
      <c r="C8" s="17" t="s">
        <v>16</v>
      </c>
      <c r="D8" s="17" t="s">
        <v>194</v>
      </c>
    </row>
    <row r="9" customFormat="false" ht="15" hidden="false" customHeight="false" outlineLevel="0" collapsed="false">
      <c r="A9" s="15" t="n">
        <v>5</v>
      </c>
      <c r="B9" s="16" t="s">
        <v>31</v>
      </c>
      <c r="C9" s="15" t="s">
        <v>16</v>
      </c>
      <c r="D9" s="15" t="s">
        <v>195</v>
      </c>
    </row>
    <row r="10" customFormat="false" ht="15" hidden="false" customHeight="false" outlineLevel="0" collapsed="false">
      <c r="A10" s="17" t="n">
        <v>6</v>
      </c>
      <c r="B10" s="18" t="s">
        <v>32</v>
      </c>
      <c r="C10" s="17" t="s">
        <v>16</v>
      </c>
      <c r="D10" s="17" t="s">
        <v>196</v>
      </c>
    </row>
    <row r="11" customFormat="false" ht="15" hidden="false" customHeight="false" outlineLevel="0" collapsed="false">
      <c r="A11" s="15" t="n">
        <v>7</v>
      </c>
      <c r="B11" s="16" t="s">
        <v>33</v>
      </c>
      <c r="C11" s="15" t="s">
        <v>16</v>
      </c>
      <c r="D11" s="15" t="s">
        <v>197</v>
      </c>
    </row>
    <row r="12" customFormat="false" ht="15" hidden="false" customHeight="false" outlineLevel="0" collapsed="false">
      <c r="A12" s="17" t="n">
        <v>8</v>
      </c>
      <c r="B12" s="18" t="s">
        <v>34</v>
      </c>
      <c r="C12" s="17" t="s">
        <v>16</v>
      </c>
      <c r="D12" s="17" t="s">
        <v>198</v>
      </c>
    </row>
    <row r="13" customFormat="false" ht="15" hidden="false" customHeight="false" outlineLevel="0" collapsed="false">
      <c r="A13" s="15" t="n">
        <v>9</v>
      </c>
      <c r="B13" s="16" t="s">
        <v>35</v>
      </c>
      <c r="C13" s="15" t="s">
        <v>17</v>
      </c>
      <c r="D13" s="15" t="s">
        <v>199</v>
      </c>
    </row>
    <row r="14" customFormat="false" ht="15" hidden="false" customHeight="false" outlineLevel="0" collapsed="false">
      <c r="A14" s="17" t="n">
        <v>10</v>
      </c>
      <c r="B14" s="18" t="s">
        <v>36</v>
      </c>
      <c r="C14" s="17" t="s">
        <v>17</v>
      </c>
      <c r="D14" s="17" t="s">
        <v>200</v>
      </c>
    </row>
    <row r="15" customFormat="false" ht="15" hidden="false" customHeight="false" outlineLevel="0" collapsed="false">
      <c r="A15" s="15" t="n">
        <v>11</v>
      </c>
      <c r="B15" s="16" t="s">
        <v>37</v>
      </c>
      <c r="C15" s="15" t="s">
        <v>17</v>
      </c>
      <c r="D15" s="15" t="s">
        <v>201</v>
      </c>
    </row>
    <row r="16" customFormat="false" ht="15" hidden="false" customHeight="false" outlineLevel="0" collapsed="false">
      <c r="A16" s="17" t="n">
        <v>12</v>
      </c>
      <c r="B16" s="18" t="s">
        <v>38</v>
      </c>
      <c r="C16" s="17" t="s">
        <v>17</v>
      </c>
      <c r="D16" s="17" t="s">
        <v>202</v>
      </c>
    </row>
    <row r="17" customFormat="false" ht="15" hidden="false" customHeight="false" outlineLevel="0" collapsed="false">
      <c r="A17" s="15" t="n">
        <v>13</v>
      </c>
      <c r="B17" s="16" t="s">
        <v>39</v>
      </c>
      <c r="C17" s="15" t="s">
        <v>17</v>
      </c>
      <c r="D17" s="15" t="s">
        <v>203</v>
      </c>
    </row>
    <row r="18" customFormat="false" ht="15" hidden="false" customHeight="false" outlineLevel="0" collapsed="false">
      <c r="A18" s="17" t="n">
        <v>14</v>
      </c>
      <c r="B18" s="18" t="s">
        <v>40</v>
      </c>
      <c r="C18" s="17" t="s">
        <v>17</v>
      </c>
      <c r="D18" s="17" t="s">
        <v>204</v>
      </c>
    </row>
    <row r="19" customFormat="false" ht="15" hidden="false" customHeight="false" outlineLevel="0" collapsed="false">
      <c r="A19" s="15" t="n">
        <v>15</v>
      </c>
      <c r="B19" s="16" t="s">
        <v>41</v>
      </c>
      <c r="C19" s="15" t="s">
        <v>17</v>
      </c>
      <c r="D19" s="15" t="s">
        <v>205</v>
      </c>
    </row>
    <row r="20" customFormat="false" ht="15" hidden="false" customHeight="false" outlineLevel="0" collapsed="false">
      <c r="A20" s="17" t="n">
        <v>16</v>
      </c>
      <c r="B20" s="18" t="s">
        <v>42</v>
      </c>
      <c r="C20" s="17" t="s">
        <v>17</v>
      </c>
      <c r="D20" s="17" t="s">
        <v>206</v>
      </c>
    </row>
    <row r="21" customFormat="false" ht="15" hidden="false" customHeight="false" outlineLevel="0" collapsed="false">
      <c r="A21" s="15" t="n">
        <v>17</v>
      </c>
      <c r="B21" s="16" t="s">
        <v>43</v>
      </c>
      <c r="C21" s="15" t="s">
        <v>17</v>
      </c>
      <c r="D21" s="15" t="s">
        <v>207</v>
      </c>
    </row>
    <row r="22" customFormat="false" ht="15" hidden="false" customHeight="false" outlineLevel="0" collapsed="false">
      <c r="A22" s="17" t="n">
        <v>18</v>
      </c>
      <c r="B22" s="18" t="s">
        <v>44</v>
      </c>
      <c r="C22" s="17" t="s">
        <v>17</v>
      </c>
      <c r="D22" s="17" t="s">
        <v>208</v>
      </c>
    </row>
    <row r="23" customFormat="false" ht="15" hidden="false" customHeight="false" outlineLevel="0" collapsed="false">
      <c r="A23" s="15" t="n">
        <v>19</v>
      </c>
      <c r="B23" s="16" t="s">
        <v>45</v>
      </c>
      <c r="C23" s="15" t="s">
        <v>17</v>
      </c>
      <c r="D23" s="15" t="s">
        <v>209</v>
      </c>
    </row>
    <row r="24" customFormat="false" ht="15" hidden="false" customHeight="false" outlineLevel="0" collapsed="false">
      <c r="A24" s="17" t="n">
        <v>20</v>
      </c>
      <c r="B24" s="18" t="s">
        <v>46</v>
      </c>
      <c r="C24" s="17" t="s">
        <v>17</v>
      </c>
      <c r="D24" s="17" t="s">
        <v>210</v>
      </c>
    </row>
    <row r="25" customFormat="false" ht="15" hidden="false" customHeight="false" outlineLevel="0" collapsed="false">
      <c r="A25" s="15" t="n">
        <v>21</v>
      </c>
      <c r="B25" s="16" t="s">
        <v>47</v>
      </c>
      <c r="C25" s="15" t="s">
        <v>18</v>
      </c>
      <c r="D25" s="15" t="s">
        <v>211</v>
      </c>
    </row>
    <row r="26" customFormat="false" ht="15" hidden="false" customHeight="false" outlineLevel="0" collapsed="false">
      <c r="A26" s="17" t="n">
        <v>22</v>
      </c>
      <c r="B26" s="18" t="s">
        <v>48</v>
      </c>
      <c r="C26" s="17" t="s">
        <v>18</v>
      </c>
      <c r="D26" s="17" t="s">
        <v>212</v>
      </c>
    </row>
    <row r="27" customFormat="false" ht="15" hidden="false" customHeight="false" outlineLevel="0" collapsed="false">
      <c r="A27" s="15" t="n">
        <v>23</v>
      </c>
      <c r="B27" s="16" t="s">
        <v>49</v>
      </c>
      <c r="C27" s="15" t="s">
        <v>18</v>
      </c>
      <c r="D27" s="15" t="s">
        <v>213</v>
      </c>
    </row>
    <row r="28" customFormat="false" ht="15" hidden="false" customHeight="false" outlineLevel="0" collapsed="false">
      <c r="A28" s="17" t="n">
        <v>24</v>
      </c>
      <c r="B28" s="18" t="s">
        <v>50</v>
      </c>
      <c r="C28" s="17" t="s">
        <v>18</v>
      </c>
      <c r="D28" s="17" t="s">
        <v>214</v>
      </c>
    </row>
    <row r="29" customFormat="false" ht="15" hidden="false" customHeight="false" outlineLevel="0" collapsed="false">
      <c r="A29" s="15" t="n">
        <v>25</v>
      </c>
      <c r="B29" s="16" t="s">
        <v>51</v>
      </c>
      <c r="C29" s="15" t="s">
        <v>18</v>
      </c>
      <c r="D29" s="15" t="s">
        <v>214</v>
      </c>
    </row>
    <row r="30" customFormat="false" ht="15" hidden="false" customHeight="false" outlineLevel="0" collapsed="false">
      <c r="A30" s="17" t="n">
        <v>26</v>
      </c>
      <c r="B30" s="18" t="s">
        <v>52</v>
      </c>
      <c r="C30" s="17" t="s">
        <v>18</v>
      </c>
      <c r="D30" s="17" t="s">
        <v>214</v>
      </c>
    </row>
    <row r="31" customFormat="false" ht="15" hidden="false" customHeight="false" outlineLevel="0" collapsed="false">
      <c r="A31" s="15" t="n">
        <v>27</v>
      </c>
      <c r="B31" s="16" t="s">
        <v>53</v>
      </c>
      <c r="C31" s="15" t="s">
        <v>18</v>
      </c>
      <c r="D31" s="15" t="s">
        <v>215</v>
      </c>
    </row>
    <row r="32" customFormat="false" ht="15" hidden="false" customHeight="false" outlineLevel="0" collapsed="false">
      <c r="A32" s="17" t="n">
        <v>28</v>
      </c>
      <c r="B32" s="18" t="s">
        <v>54</v>
      </c>
      <c r="C32" s="17" t="s">
        <v>18</v>
      </c>
      <c r="D32" s="17" t="s">
        <v>216</v>
      </c>
    </row>
    <row r="33" customFormat="false" ht="15" hidden="false" customHeight="false" outlineLevel="0" collapsed="false">
      <c r="A33" s="15" t="n">
        <v>29</v>
      </c>
      <c r="B33" s="16" t="s">
        <v>55</v>
      </c>
      <c r="C33" s="15" t="s">
        <v>18</v>
      </c>
      <c r="D33" s="15" t="s">
        <v>217</v>
      </c>
    </row>
    <row r="34" customFormat="false" ht="15" hidden="false" customHeight="false" outlineLevel="0" collapsed="false">
      <c r="A34" s="17" t="n">
        <v>30</v>
      </c>
      <c r="B34" s="18" t="s">
        <v>56</v>
      </c>
      <c r="C34" s="17" t="s">
        <v>18</v>
      </c>
      <c r="D34" s="17" t="s">
        <v>218</v>
      </c>
    </row>
    <row r="35" customFormat="false" ht="15" hidden="false" customHeight="false" outlineLevel="0" collapsed="false">
      <c r="A35" s="15" t="n">
        <v>31</v>
      </c>
      <c r="B35" s="16" t="s">
        <v>57</v>
      </c>
      <c r="C35" s="15" t="s">
        <v>18</v>
      </c>
      <c r="D35" s="15" t="s">
        <v>219</v>
      </c>
    </row>
    <row r="36" customFormat="false" ht="15" hidden="false" customHeight="false" outlineLevel="0" collapsed="false">
      <c r="A36" s="17" t="n">
        <v>32</v>
      </c>
      <c r="B36" s="18" t="s">
        <v>58</v>
      </c>
      <c r="C36" s="17" t="s">
        <v>18</v>
      </c>
      <c r="D36" s="17" t="s">
        <v>220</v>
      </c>
    </row>
    <row r="37" customFormat="false" ht="15" hidden="false" customHeight="false" outlineLevel="0" collapsed="false">
      <c r="A37" s="15" t="n">
        <v>33</v>
      </c>
      <c r="B37" s="16" t="s">
        <v>59</v>
      </c>
      <c r="C37" s="15" t="s">
        <v>18</v>
      </c>
      <c r="D37" s="15" t="s">
        <v>221</v>
      </c>
    </row>
    <row r="38" customFormat="false" ht="15" hidden="false" customHeight="false" outlineLevel="0" collapsed="false">
      <c r="A38" s="17" t="n">
        <v>34</v>
      </c>
      <c r="B38" s="18" t="s">
        <v>60</v>
      </c>
      <c r="C38" s="17" t="s">
        <v>18</v>
      </c>
      <c r="D38" s="17" t="s">
        <v>222</v>
      </c>
    </row>
    <row r="39" customFormat="false" ht="15" hidden="false" customHeight="false" outlineLevel="0" collapsed="false">
      <c r="A39" s="15" t="n">
        <v>35</v>
      </c>
      <c r="B39" s="16" t="s">
        <v>61</v>
      </c>
      <c r="C39" s="15" t="s">
        <v>18</v>
      </c>
      <c r="D39" s="15" t="s">
        <v>223</v>
      </c>
    </row>
    <row r="40" customFormat="false" ht="15" hidden="false" customHeight="false" outlineLevel="0" collapsed="false">
      <c r="A40" s="17" t="n">
        <v>36</v>
      </c>
      <c r="B40" s="18" t="s">
        <v>62</v>
      </c>
      <c r="C40" s="17" t="s">
        <v>18</v>
      </c>
      <c r="D40" s="17" t="s">
        <v>224</v>
      </c>
    </row>
    <row r="41" customFormat="false" ht="15" hidden="false" customHeight="false" outlineLevel="0" collapsed="false">
      <c r="A41" s="15" t="n">
        <v>37</v>
      </c>
      <c r="B41" s="16" t="s">
        <v>63</v>
      </c>
      <c r="C41" s="15" t="s">
        <v>18</v>
      </c>
      <c r="D41" s="15" t="s">
        <v>225</v>
      </c>
    </row>
    <row r="42" customFormat="false" ht="15" hidden="false" customHeight="false" outlineLevel="0" collapsed="false">
      <c r="A42" s="17" t="n">
        <v>38</v>
      </c>
      <c r="B42" s="18" t="s">
        <v>64</v>
      </c>
      <c r="C42" s="17" t="s">
        <v>18</v>
      </c>
      <c r="D42" s="17" t="s">
        <v>226</v>
      </c>
    </row>
    <row r="43" customFormat="false" ht="15" hidden="false" customHeight="false" outlineLevel="0" collapsed="false">
      <c r="A43" s="15" t="n">
        <v>39</v>
      </c>
      <c r="B43" s="16" t="s">
        <v>65</v>
      </c>
      <c r="C43" s="15" t="s">
        <v>18</v>
      </c>
      <c r="D43" s="15" t="s">
        <v>227</v>
      </c>
    </row>
    <row r="44" customFormat="false" ht="15" hidden="false" customHeight="false" outlineLevel="0" collapsed="false">
      <c r="A44" s="17" t="n">
        <v>40</v>
      </c>
      <c r="B44" s="18" t="s">
        <v>66</v>
      </c>
      <c r="C44" s="17" t="s">
        <v>19</v>
      </c>
      <c r="D44" s="17" t="s">
        <v>228</v>
      </c>
    </row>
    <row r="45" customFormat="false" ht="15" hidden="false" customHeight="false" outlineLevel="0" collapsed="false">
      <c r="A45" s="15" t="n">
        <v>41</v>
      </c>
      <c r="B45" s="16" t="s">
        <v>67</v>
      </c>
      <c r="C45" s="15" t="s">
        <v>19</v>
      </c>
      <c r="D45" s="15" t="s">
        <v>229</v>
      </c>
    </row>
    <row r="46" customFormat="false" ht="15" hidden="false" customHeight="false" outlineLevel="0" collapsed="false">
      <c r="A46" s="17" t="n">
        <v>42</v>
      </c>
      <c r="B46" s="18" t="s">
        <v>68</v>
      </c>
      <c r="C46" s="17" t="s">
        <v>19</v>
      </c>
      <c r="D46" s="17" t="s">
        <v>230</v>
      </c>
    </row>
    <row r="47" customFormat="false" ht="15" hidden="false" customHeight="false" outlineLevel="0" collapsed="false">
      <c r="A47" s="15" t="n">
        <v>43</v>
      </c>
      <c r="B47" s="16" t="s">
        <v>69</v>
      </c>
      <c r="C47" s="15" t="s">
        <v>19</v>
      </c>
      <c r="D47" s="15" t="s">
        <v>231</v>
      </c>
    </row>
    <row r="48" customFormat="false" ht="15" hidden="false" customHeight="false" outlineLevel="0" collapsed="false">
      <c r="A48" s="17" t="n">
        <v>44</v>
      </c>
      <c r="B48" s="18" t="s">
        <v>70</v>
      </c>
      <c r="C48" s="17" t="s">
        <v>19</v>
      </c>
      <c r="D48" s="17" t="s">
        <v>232</v>
      </c>
    </row>
    <row r="49" customFormat="false" ht="15" hidden="false" customHeight="false" outlineLevel="0" collapsed="false">
      <c r="A49" s="15" t="n">
        <v>45</v>
      </c>
      <c r="B49" s="16" t="s">
        <v>71</v>
      </c>
      <c r="C49" s="15" t="s">
        <v>19</v>
      </c>
      <c r="D49" s="15" t="s">
        <v>233</v>
      </c>
    </row>
    <row r="50" customFormat="false" ht="15" hidden="false" customHeight="false" outlineLevel="0" collapsed="false">
      <c r="A50" s="17" t="n">
        <v>46</v>
      </c>
      <c r="B50" s="18" t="s">
        <v>72</v>
      </c>
      <c r="C50" s="17" t="s">
        <v>20</v>
      </c>
      <c r="D50" s="17" t="s">
        <v>234</v>
      </c>
    </row>
    <row r="51" customFormat="false" ht="15" hidden="false" customHeight="false" outlineLevel="0" collapsed="false">
      <c r="A51" s="15" t="n">
        <v>47</v>
      </c>
      <c r="B51" s="16" t="s">
        <v>73</v>
      </c>
      <c r="C51" s="15" t="s">
        <v>20</v>
      </c>
      <c r="D51" s="15" t="s">
        <v>235</v>
      </c>
    </row>
    <row r="52" customFormat="false" ht="15" hidden="false" customHeight="false" outlineLevel="0" collapsed="false">
      <c r="A52" s="17" t="n">
        <v>48</v>
      </c>
      <c r="B52" s="18" t="s">
        <v>74</v>
      </c>
      <c r="C52" s="17" t="s">
        <v>20</v>
      </c>
      <c r="D52" s="17" t="s">
        <v>236</v>
      </c>
    </row>
    <row r="53" customFormat="false" ht="15" hidden="false" customHeight="false" outlineLevel="0" collapsed="false">
      <c r="A53" s="15" t="n">
        <v>49</v>
      </c>
      <c r="B53" s="16" t="s">
        <v>75</v>
      </c>
      <c r="C53" s="15" t="s">
        <v>20</v>
      </c>
      <c r="D53" s="15" t="s">
        <v>237</v>
      </c>
    </row>
    <row r="54" customFormat="false" ht="15" hidden="false" customHeight="false" outlineLevel="0" collapsed="false">
      <c r="A54" s="17" t="n">
        <v>50</v>
      </c>
      <c r="B54" s="18" t="s">
        <v>76</v>
      </c>
      <c r="C54" s="17" t="s">
        <v>20</v>
      </c>
      <c r="D54" s="17" t="s">
        <v>238</v>
      </c>
    </row>
    <row r="55" customFormat="false" ht="15" hidden="false" customHeight="false" outlineLevel="0" collapsed="false">
      <c r="A55" s="15" t="n">
        <v>51</v>
      </c>
      <c r="B55" s="16" t="s">
        <v>77</v>
      </c>
      <c r="C55" s="15" t="s">
        <v>20</v>
      </c>
      <c r="D55" s="15" t="s">
        <v>239</v>
      </c>
    </row>
    <row r="56" customFormat="false" ht="15" hidden="false" customHeight="false" outlineLevel="0" collapsed="false">
      <c r="A56" s="17" t="n">
        <v>52</v>
      </c>
      <c r="B56" s="18" t="s">
        <v>78</v>
      </c>
      <c r="C56" s="17" t="s">
        <v>20</v>
      </c>
      <c r="D56" s="17" t="s">
        <v>240</v>
      </c>
    </row>
    <row r="57" customFormat="false" ht="15" hidden="false" customHeight="false" outlineLevel="0" collapsed="false">
      <c r="A57" s="15" t="n">
        <v>53</v>
      </c>
      <c r="B57" s="16" t="s">
        <v>79</v>
      </c>
      <c r="C57" s="15" t="s">
        <v>20</v>
      </c>
      <c r="D57" s="15" t="s">
        <v>241</v>
      </c>
    </row>
    <row r="58" customFormat="false" ht="15" hidden="false" customHeight="false" outlineLevel="0" collapsed="false">
      <c r="A58" s="17" t="n">
        <v>54</v>
      </c>
      <c r="B58" s="18" t="s">
        <v>80</v>
      </c>
      <c r="C58" s="17" t="s">
        <v>20</v>
      </c>
      <c r="D58" s="17" t="s">
        <v>242</v>
      </c>
    </row>
    <row r="59" customFormat="false" ht="15" hidden="false" customHeight="false" outlineLevel="0" collapsed="false">
      <c r="A59" s="15" t="n">
        <v>55</v>
      </c>
      <c r="B59" s="16" t="s">
        <v>81</v>
      </c>
      <c r="C59" s="15" t="s">
        <v>20</v>
      </c>
      <c r="D59" s="15" t="s">
        <v>243</v>
      </c>
    </row>
    <row r="60" customFormat="false" ht="15" hidden="false" customHeight="false" outlineLevel="0" collapsed="false">
      <c r="A60" s="17" t="n">
        <v>56</v>
      </c>
      <c r="B60" s="18" t="s">
        <v>82</v>
      </c>
      <c r="C60" s="17" t="s">
        <v>20</v>
      </c>
      <c r="D60" s="17" t="s">
        <v>244</v>
      </c>
    </row>
    <row r="61" customFormat="false" ht="15" hidden="false" customHeight="false" outlineLevel="0" collapsed="false">
      <c r="A61" s="15" t="n">
        <v>57</v>
      </c>
      <c r="B61" s="16" t="s">
        <v>83</v>
      </c>
      <c r="C61" s="15" t="s">
        <v>20</v>
      </c>
      <c r="D61" s="15" t="s">
        <v>245</v>
      </c>
    </row>
    <row r="62" customFormat="false" ht="15" hidden="false" customHeight="false" outlineLevel="0" collapsed="false">
      <c r="A62" s="17" t="n">
        <v>58</v>
      </c>
      <c r="B62" s="18" t="s">
        <v>84</v>
      </c>
      <c r="C62" s="17" t="s">
        <v>20</v>
      </c>
      <c r="D62" s="17" t="s">
        <v>246</v>
      </c>
    </row>
    <row r="63" customFormat="false" ht="15" hidden="false" customHeight="false" outlineLevel="0" collapsed="false">
      <c r="A63" s="15" t="n">
        <v>59</v>
      </c>
      <c r="B63" s="16" t="s">
        <v>85</v>
      </c>
      <c r="C63" s="15" t="s">
        <v>20</v>
      </c>
      <c r="D63" s="15" t="s">
        <v>247</v>
      </c>
    </row>
    <row r="64" customFormat="false" ht="15" hidden="false" customHeight="false" outlineLevel="0" collapsed="false">
      <c r="A64" s="17" t="n">
        <v>60</v>
      </c>
      <c r="B64" s="18" t="s">
        <v>86</v>
      </c>
      <c r="C64" s="17" t="s">
        <v>20</v>
      </c>
      <c r="D64" s="17" t="s">
        <v>248</v>
      </c>
    </row>
    <row r="65" customFormat="false" ht="15" hidden="false" customHeight="false" outlineLevel="0" collapsed="false">
      <c r="A65" s="15" t="n">
        <v>61</v>
      </c>
      <c r="B65" s="16" t="s">
        <v>87</v>
      </c>
      <c r="C65" s="15" t="s">
        <v>20</v>
      </c>
      <c r="D65" s="15" t="s">
        <v>249</v>
      </c>
    </row>
    <row r="66" customFormat="false" ht="15" hidden="false" customHeight="false" outlineLevel="0" collapsed="false">
      <c r="A66" s="17" t="n">
        <v>62</v>
      </c>
      <c r="B66" s="18" t="s">
        <v>88</v>
      </c>
      <c r="C66" s="17" t="s">
        <v>20</v>
      </c>
      <c r="D66" s="17" t="s">
        <v>250</v>
      </c>
    </row>
    <row r="67" customFormat="false" ht="15" hidden="false" customHeight="false" outlineLevel="0" collapsed="false">
      <c r="A67" s="15" t="n">
        <v>63</v>
      </c>
      <c r="B67" s="16" t="s">
        <v>89</v>
      </c>
      <c r="C67" s="15" t="s">
        <v>21</v>
      </c>
      <c r="D67" s="15" t="s">
        <v>251</v>
      </c>
    </row>
    <row r="68" customFormat="false" ht="15" hidden="false" customHeight="false" outlineLevel="0" collapsed="false">
      <c r="A68" s="17" t="n">
        <v>64</v>
      </c>
      <c r="B68" s="18" t="s">
        <v>90</v>
      </c>
      <c r="C68" s="17" t="s">
        <v>21</v>
      </c>
      <c r="D68" s="17" t="s">
        <v>252</v>
      </c>
    </row>
    <row r="69" customFormat="false" ht="15" hidden="false" customHeight="false" outlineLevel="0" collapsed="false">
      <c r="A69" s="15" t="n">
        <v>65</v>
      </c>
      <c r="B69" s="16" t="s">
        <v>91</v>
      </c>
      <c r="C69" s="15" t="s">
        <v>21</v>
      </c>
      <c r="D69" s="15" t="s">
        <v>253</v>
      </c>
    </row>
    <row r="70" customFormat="false" ht="15" hidden="false" customHeight="false" outlineLevel="0" collapsed="false">
      <c r="A70" s="17" t="n">
        <v>66</v>
      </c>
      <c r="B70" s="18" t="s">
        <v>92</v>
      </c>
      <c r="C70" s="17" t="s">
        <v>21</v>
      </c>
      <c r="D70" s="17" t="s">
        <v>254</v>
      </c>
    </row>
    <row r="71" customFormat="false" ht="15" hidden="false" customHeight="false" outlineLevel="0" collapsed="false">
      <c r="A71" s="15" t="n">
        <v>67</v>
      </c>
      <c r="B71" s="16" t="s">
        <v>93</v>
      </c>
      <c r="C71" s="15" t="s">
        <v>21</v>
      </c>
      <c r="D71" s="15" t="s">
        <v>255</v>
      </c>
    </row>
    <row r="72" customFormat="false" ht="15" hidden="false" customHeight="false" outlineLevel="0" collapsed="false">
      <c r="A72" s="17" t="n">
        <v>68</v>
      </c>
      <c r="B72" s="18" t="s">
        <v>94</v>
      </c>
      <c r="C72" s="17" t="s">
        <v>21</v>
      </c>
      <c r="D72" s="17" t="s">
        <v>256</v>
      </c>
    </row>
    <row r="73" customFormat="false" ht="15" hidden="false" customHeight="false" outlineLevel="0" collapsed="false">
      <c r="A73" s="15" t="n">
        <v>69</v>
      </c>
      <c r="B73" s="16" t="s">
        <v>95</v>
      </c>
      <c r="C73" s="15" t="s">
        <v>21</v>
      </c>
      <c r="D73" s="15" t="s">
        <v>257</v>
      </c>
    </row>
    <row r="74" customFormat="false" ht="15" hidden="false" customHeight="false" outlineLevel="0" collapsed="false">
      <c r="A74" s="17" t="n">
        <v>70</v>
      </c>
      <c r="B74" s="18" t="s">
        <v>96</v>
      </c>
      <c r="C74" s="17" t="s">
        <v>21</v>
      </c>
      <c r="D74" s="17" t="s">
        <v>258</v>
      </c>
    </row>
    <row r="75" customFormat="false" ht="15" hidden="false" customHeight="false" outlineLevel="0" collapsed="false">
      <c r="A75" s="15" t="n">
        <v>71</v>
      </c>
      <c r="B75" s="16" t="s">
        <v>97</v>
      </c>
      <c r="C75" s="15" t="s">
        <v>21</v>
      </c>
      <c r="D75" s="15" t="s">
        <v>259</v>
      </c>
    </row>
    <row r="76" customFormat="false" ht="15" hidden="false" customHeight="false" outlineLevel="0" collapsed="false">
      <c r="A76" s="17" t="n">
        <v>72</v>
      </c>
      <c r="B76" s="18" t="s">
        <v>98</v>
      </c>
      <c r="C76" s="17" t="s">
        <v>21</v>
      </c>
      <c r="D76" s="17" t="s">
        <v>260</v>
      </c>
    </row>
    <row r="77" customFormat="false" ht="23.85" hidden="false" customHeight="false" outlineLevel="0" collapsed="false">
      <c r="A77" s="15" t="n">
        <v>73</v>
      </c>
      <c r="B77" s="16" t="s">
        <v>99</v>
      </c>
      <c r="C77" s="15" t="s">
        <v>22</v>
      </c>
      <c r="D77" s="15" t="s">
        <v>261</v>
      </c>
    </row>
    <row r="78" customFormat="false" ht="23.85" hidden="false" customHeight="false" outlineLevel="0" collapsed="false">
      <c r="A78" s="17" t="n">
        <v>74</v>
      </c>
      <c r="B78" s="18" t="s">
        <v>100</v>
      </c>
      <c r="C78" s="17" t="s">
        <v>22</v>
      </c>
      <c r="D78" s="17" t="s">
        <v>262</v>
      </c>
    </row>
    <row r="79" customFormat="false" ht="23.85" hidden="false" customHeight="false" outlineLevel="0" collapsed="false">
      <c r="A79" s="15" t="n">
        <v>75</v>
      </c>
      <c r="B79" s="16" t="s">
        <v>101</v>
      </c>
      <c r="C79" s="15" t="s">
        <v>22</v>
      </c>
      <c r="D79" s="15" t="s">
        <v>263</v>
      </c>
    </row>
    <row r="80" customFormat="false" ht="23.85" hidden="false" customHeight="false" outlineLevel="0" collapsed="false">
      <c r="A80" s="17" t="n">
        <v>76</v>
      </c>
      <c r="B80" s="18" t="s">
        <v>102</v>
      </c>
      <c r="C80" s="17" t="s">
        <v>22</v>
      </c>
      <c r="D80" s="17" t="s">
        <v>264</v>
      </c>
    </row>
    <row r="81" customFormat="false" ht="23.85" hidden="false" customHeight="false" outlineLevel="0" collapsed="false">
      <c r="A81" s="15" t="n">
        <v>77</v>
      </c>
      <c r="B81" s="16" t="s">
        <v>103</v>
      </c>
      <c r="C81" s="15" t="s">
        <v>22</v>
      </c>
      <c r="D81" s="15" t="s">
        <v>265</v>
      </c>
    </row>
    <row r="82" customFormat="false" ht="23.85" hidden="false" customHeight="false" outlineLevel="0" collapsed="false">
      <c r="A82" s="17" t="n">
        <v>78</v>
      </c>
      <c r="B82" s="18" t="s">
        <v>104</v>
      </c>
      <c r="C82" s="17" t="s">
        <v>22</v>
      </c>
      <c r="D82" s="17" t="s">
        <v>266</v>
      </c>
    </row>
    <row r="83" customFormat="false" ht="15" hidden="false" customHeight="false" outlineLevel="0" collapsed="false">
      <c r="A83" s="15" t="n">
        <v>79</v>
      </c>
      <c r="B83" s="16" t="s">
        <v>105</v>
      </c>
      <c r="C83" s="15" t="s">
        <v>23</v>
      </c>
      <c r="D83" s="15" t="s">
        <v>267</v>
      </c>
    </row>
    <row r="84" customFormat="false" ht="15" hidden="false" customHeight="false" outlineLevel="0" collapsed="false">
      <c r="A84" s="17" t="n">
        <v>80</v>
      </c>
      <c r="B84" s="18" t="s">
        <v>106</v>
      </c>
      <c r="C84" s="17" t="s">
        <v>23</v>
      </c>
      <c r="D84" s="17" t="s">
        <v>268</v>
      </c>
    </row>
    <row r="85" customFormat="false" ht="15" hidden="false" customHeight="false" outlineLevel="0" collapsed="false">
      <c r="A85" s="15" t="n">
        <v>81</v>
      </c>
      <c r="B85" s="16" t="s">
        <v>107</v>
      </c>
      <c r="C85" s="15" t="s">
        <v>23</v>
      </c>
      <c r="D85" s="15" t="s">
        <v>269</v>
      </c>
    </row>
    <row r="86" customFormat="false" ht="15" hidden="false" customHeight="false" outlineLevel="0" collapsed="false">
      <c r="A86" s="17" t="n">
        <v>82</v>
      </c>
      <c r="B86" s="18" t="s">
        <v>108</v>
      </c>
      <c r="C86" s="17" t="s">
        <v>23</v>
      </c>
      <c r="D86" s="17" t="s">
        <v>270</v>
      </c>
    </row>
    <row r="87" customFormat="false" ht="15" hidden="false" customHeight="false" outlineLevel="0" collapsed="false">
      <c r="A87" s="15" t="n">
        <v>83</v>
      </c>
      <c r="B87" s="16" t="s">
        <v>109</v>
      </c>
      <c r="C87" s="15" t="s">
        <v>23</v>
      </c>
      <c r="D87" s="15" t="s">
        <v>271</v>
      </c>
    </row>
    <row r="88" customFormat="false" ht="15" hidden="false" customHeight="false" outlineLevel="0" collapsed="false">
      <c r="A88" s="17" t="n">
        <v>84</v>
      </c>
      <c r="B88" s="18" t="s">
        <v>110</v>
      </c>
      <c r="C88" s="17" t="s">
        <v>23</v>
      </c>
      <c r="D88" s="17" t="s">
        <v>272</v>
      </c>
    </row>
    <row r="89" customFormat="false" ht="15" hidden="false" customHeight="false" outlineLevel="0" collapsed="false">
      <c r="A89" s="15" t="n">
        <v>85</v>
      </c>
      <c r="B89" s="16" t="s">
        <v>111</v>
      </c>
      <c r="C89" s="15" t="s">
        <v>23</v>
      </c>
      <c r="D89" s="15" t="s">
        <v>273</v>
      </c>
    </row>
    <row r="90" customFormat="false" ht="15" hidden="false" customHeight="false" outlineLevel="0" collapsed="false">
      <c r="A90" s="17" t="n">
        <v>86</v>
      </c>
      <c r="B90" s="18" t="s">
        <v>112</v>
      </c>
      <c r="C90" s="17" t="s">
        <v>24</v>
      </c>
      <c r="D90" s="17" t="s">
        <v>274</v>
      </c>
    </row>
    <row r="91" customFormat="false" ht="15" hidden="false" customHeight="false" outlineLevel="0" collapsed="false">
      <c r="A91" s="15" t="n">
        <v>87</v>
      </c>
      <c r="B91" s="16" t="s">
        <v>113</v>
      </c>
      <c r="C91" s="15" t="s">
        <v>24</v>
      </c>
      <c r="D91" s="15" t="s">
        <v>275</v>
      </c>
    </row>
    <row r="92" customFormat="false" ht="15" hidden="false" customHeight="false" outlineLevel="0" collapsed="false">
      <c r="A92" s="17" t="n">
        <v>88</v>
      </c>
      <c r="B92" s="18" t="s">
        <v>114</v>
      </c>
      <c r="C92" s="17" t="s">
        <v>24</v>
      </c>
      <c r="D92" s="17" t="s">
        <v>276</v>
      </c>
    </row>
    <row r="93" customFormat="false" ht="15" hidden="false" customHeight="false" outlineLevel="0" collapsed="false">
      <c r="A93" s="15" t="n">
        <v>89</v>
      </c>
      <c r="B93" s="16" t="s">
        <v>115</v>
      </c>
      <c r="C93" s="15" t="s">
        <v>24</v>
      </c>
      <c r="D93" s="15" t="s">
        <v>277</v>
      </c>
    </row>
    <row r="94" customFormat="false" ht="15" hidden="false" customHeight="false" outlineLevel="0" collapsed="false">
      <c r="A94" s="17" t="n">
        <v>90</v>
      </c>
      <c r="B94" s="18" t="s">
        <v>116</v>
      </c>
      <c r="C94" s="17" t="s">
        <v>24</v>
      </c>
      <c r="D94" s="17" t="s">
        <v>278</v>
      </c>
    </row>
    <row r="95" customFormat="false" ht="15" hidden="false" customHeight="false" outlineLevel="0" collapsed="false">
      <c r="A95" s="15" t="n">
        <v>91</v>
      </c>
      <c r="B95" s="16" t="s">
        <v>117</v>
      </c>
      <c r="C95" s="15" t="s">
        <v>24</v>
      </c>
      <c r="D95" s="15" t="s">
        <v>279</v>
      </c>
    </row>
    <row r="96" customFormat="false" ht="15" hidden="false" customHeight="false" outlineLevel="0" collapsed="false">
      <c r="A96" s="17" t="n">
        <v>92</v>
      </c>
      <c r="B96" s="18" t="s">
        <v>118</v>
      </c>
      <c r="C96" s="17" t="s">
        <v>24</v>
      </c>
      <c r="D96" s="17" t="s">
        <v>280</v>
      </c>
    </row>
    <row r="97" customFormat="false" ht="15" hidden="false" customHeight="false" outlineLevel="0" collapsed="false">
      <c r="A97" s="15" t="n">
        <v>93</v>
      </c>
      <c r="B97" s="16" t="s">
        <v>119</v>
      </c>
      <c r="C97" s="15" t="s">
        <v>24</v>
      </c>
      <c r="D97" s="15" t="s">
        <v>281</v>
      </c>
    </row>
    <row r="98" customFormat="false" ht="15" hidden="false" customHeight="false" outlineLevel="0" collapsed="false">
      <c r="A98" s="17" t="n">
        <v>94</v>
      </c>
      <c r="B98" s="18" t="s">
        <v>120</v>
      </c>
      <c r="C98" s="17" t="s">
        <v>24</v>
      </c>
      <c r="D98" s="17" t="s">
        <v>282</v>
      </c>
    </row>
    <row r="99" customFormat="false" ht="15" hidden="false" customHeight="false" outlineLevel="0" collapsed="false">
      <c r="A99" s="15" t="n">
        <v>95</v>
      </c>
      <c r="B99" s="16" t="s">
        <v>121</v>
      </c>
      <c r="C99" s="15" t="s">
        <v>24</v>
      </c>
      <c r="D99" s="15" t="s">
        <v>283</v>
      </c>
    </row>
    <row r="100" customFormat="false" ht="15" hidden="false" customHeight="false" outlineLevel="0" collapsed="false">
      <c r="A100" s="17" t="n">
        <v>96</v>
      </c>
      <c r="B100" s="18" t="s">
        <v>122</v>
      </c>
      <c r="C100" s="17" t="s">
        <v>24</v>
      </c>
      <c r="D100" s="17" t="s">
        <v>284</v>
      </c>
    </row>
    <row r="101" customFormat="false" ht="15" hidden="false" customHeight="false" outlineLevel="0" collapsed="false">
      <c r="A101" s="15" t="n">
        <v>97</v>
      </c>
      <c r="B101" s="16" t="s">
        <v>123</v>
      </c>
      <c r="C101" s="15" t="s">
        <v>24</v>
      </c>
      <c r="D101" s="15" t="s">
        <v>285</v>
      </c>
    </row>
    <row r="102" customFormat="false" ht="15" hidden="false" customHeight="false" outlineLevel="0" collapsed="false">
      <c r="A102" s="17" t="n">
        <v>98</v>
      </c>
      <c r="B102" s="18" t="s">
        <v>124</v>
      </c>
      <c r="C102" s="17" t="s">
        <v>25</v>
      </c>
      <c r="D102" s="17" t="s">
        <v>286</v>
      </c>
    </row>
    <row r="103" customFormat="false" ht="15" hidden="false" customHeight="false" outlineLevel="0" collapsed="false">
      <c r="A103" s="15" t="n">
        <v>99</v>
      </c>
      <c r="B103" s="16" t="s">
        <v>125</v>
      </c>
      <c r="C103" s="15" t="s">
        <v>25</v>
      </c>
      <c r="D103" s="15" t="s">
        <v>287</v>
      </c>
    </row>
    <row r="104" customFormat="false" ht="15" hidden="false" customHeight="false" outlineLevel="0" collapsed="false">
      <c r="A104" s="17" t="n">
        <v>100</v>
      </c>
      <c r="B104" s="18" t="s">
        <v>126</v>
      </c>
      <c r="C104" s="17" t="s">
        <v>25</v>
      </c>
      <c r="D104" s="17" t="s">
        <v>288</v>
      </c>
    </row>
    <row r="105" customFormat="false" ht="15" hidden="false" customHeight="false" outlineLevel="0" collapsed="false">
      <c r="A105" s="15" t="n">
        <v>101</v>
      </c>
      <c r="B105" s="16" t="s">
        <v>127</v>
      </c>
      <c r="C105" s="15" t="s">
        <v>25</v>
      </c>
      <c r="D105" s="15" t="s">
        <v>289</v>
      </c>
    </row>
    <row r="106" customFormat="false" ht="15" hidden="false" customHeight="false" outlineLevel="0" collapsed="false">
      <c r="A106" s="17" t="n">
        <v>102</v>
      </c>
      <c r="B106" s="18" t="s">
        <v>128</v>
      </c>
      <c r="C106" s="17" t="s">
        <v>25</v>
      </c>
      <c r="D106" s="17" t="s">
        <v>290</v>
      </c>
    </row>
    <row r="107" customFormat="false" ht="15" hidden="false" customHeight="false" outlineLevel="0" collapsed="false">
      <c r="A107" s="15" t="n">
        <v>103</v>
      </c>
      <c r="B107" s="16" t="s">
        <v>129</v>
      </c>
      <c r="C107" s="15" t="s">
        <v>25</v>
      </c>
      <c r="D107" s="15" t="s">
        <v>291</v>
      </c>
    </row>
    <row r="108" customFormat="false" ht="15" hidden="false" customHeight="false" outlineLevel="0" collapsed="false">
      <c r="A108" s="17" t="n">
        <v>104</v>
      </c>
      <c r="B108" s="18" t="s">
        <v>130</v>
      </c>
      <c r="C108" s="17" t="s">
        <v>25</v>
      </c>
      <c r="D108" s="17" t="s">
        <v>292</v>
      </c>
    </row>
    <row r="109" customFormat="false" ht="15" hidden="false" customHeight="false" outlineLevel="0" collapsed="false">
      <c r="A109" s="15" t="n">
        <v>105</v>
      </c>
      <c r="B109" s="16" t="s">
        <v>131</v>
      </c>
      <c r="C109" s="15" t="s">
        <v>25</v>
      </c>
      <c r="D109" s="15" t="s">
        <v>293</v>
      </c>
    </row>
    <row r="110" customFormat="false" ht="15" hidden="false" customHeight="false" outlineLevel="0" collapsed="false">
      <c r="A110" s="17" t="n">
        <v>106</v>
      </c>
      <c r="B110" s="18" t="s">
        <v>132</v>
      </c>
      <c r="C110" s="17" t="s">
        <v>25</v>
      </c>
      <c r="D110" s="17" t="s">
        <v>294</v>
      </c>
    </row>
    <row r="111" customFormat="false" ht="15" hidden="false" customHeight="false" outlineLevel="0" collapsed="false">
      <c r="A111" s="15" t="n">
        <v>107</v>
      </c>
      <c r="B111" s="16" t="s">
        <v>133</v>
      </c>
      <c r="C111" s="15" t="s">
        <v>25</v>
      </c>
      <c r="D111" s="15" t="s">
        <v>295</v>
      </c>
    </row>
    <row r="112" customFormat="false" ht="15" hidden="false" customHeight="false" outlineLevel="0" collapsed="false">
      <c r="A112" s="17" t="n">
        <v>108</v>
      </c>
      <c r="B112" s="18" t="s">
        <v>134</v>
      </c>
      <c r="C112" s="17" t="s">
        <v>25</v>
      </c>
      <c r="D112" s="17" t="s">
        <v>296</v>
      </c>
    </row>
    <row r="113" customFormat="false" ht="15" hidden="false" customHeight="false" outlineLevel="0" collapsed="false">
      <c r="A113" s="15" t="n">
        <v>109</v>
      </c>
      <c r="B113" s="16" t="s">
        <v>135</v>
      </c>
      <c r="C113" s="15" t="s">
        <v>26</v>
      </c>
      <c r="D113" s="15" t="s">
        <v>297</v>
      </c>
    </row>
    <row r="114" customFormat="false" ht="15" hidden="false" customHeight="false" outlineLevel="0" collapsed="false">
      <c r="A114" s="17" t="n">
        <v>110</v>
      </c>
      <c r="B114" s="18" t="s">
        <v>136</v>
      </c>
      <c r="C114" s="17" t="s">
        <v>26</v>
      </c>
      <c r="D114" s="17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13" t="s">
        <v>300</v>
      </c>
    </row>
    <row r="4" customFormat="false" ht="15" hidden="false" customHeight="false" outlineLevel="0" collapsed="false">
      <c r="A4" s="19" t="s">
        <v>301</v>
      </c>
      <c r="B4" s="19" t="s">
        <v>302</v>
      </c>
    </row>
    <row r="5" customFormat="false" ht="15" hidden="false" customHeight="false" outlineLevel="0" collapsed="false">
      <c r="A5" s="20" t="s">
        <v>303</v>
      </c>
      <c r="B5" s="21" t="n">
        <f aca="false">COUNTA('Artwork Register'!$B$3:$B$120)</f>
        <v>2</v>
      </c>
    </row>
    <row r="6" customFormat="false" ht="15" hidden="false" customHeight="false" outlineLevel="0" collapsed="false">
      <c r="A6" s="20" t="s">
        <v>141</v>
      </c>
      <c r="B6" s="21" t="n">
        <f aca="false">COUNTIF('Artwork Register'!$H$3:$H$120,"Available")</f>
        <v>1</v>
      </c>
    </row>
    <row r="7" customFormat="false" ht="15" hidden="false" customHeight="false" outlineLevel="0" collapsed="false">
      <c r="A7" s="20" t="s">
        <v>304</v>
      </c>
      <c r="B7" s="21" t="n">
        <f aca="false">COUNTIF('Artwork Register'!$H$3:$H$120,"Reserved")</f>
        <v>0</v>
      </c>
    </row>
    <row r="8" customFormat="false" ht="15" hidden="false" customHeight="false" outlineLevel="0" collapsed="false">
      <c r="A8" s="20" t="s">
        <v>168</v>
      </c>
      <c r="B8" s="21" t="n">
        <f aca="false">COUNTIF('Artwork Register'!$H$3:$H$120,"Sold")</f>
        <v>1</v>
      </c>
    </row>
    <row r="9" customFormat="false" ht="15" hidden="false" customHeight="false" outlineLevel="0" collapsed="false">
      <c r="A9" s="20" t="s">
        <v>305</v>
      </c>
      <c r="B9" s="21" t="n">
        <f aca="false">COUNTIF('Artwork Register'!$H$3:$H$120,"On Loan")</f>
        <v>0</v>
      </c>
    </row>
    <row r="10" customFormat="false" ht="15" hidden="false" customHeight="false" outlineLevel="0" collapsed="false">
      <c r="A10" s="20" t="s">
        <v>306</v>
      </c>
      <c r="B10" s="21" t="n">
        <f aca="false">COUNTIF('Artwork Register'!$H$3:$H$120,"Not For Sale")</f>
        <v>0</v>
      </c>
    </row>
    <row r="11" customFormat="false" ht="15" hidden="false" customHeight="false" outlineLevel="0" collapsed="false">
      <c r="A11" s="21"/>
      <c r="B11" s="21"/>
    </row>
    <row r="12" customFormat="false" ht="15" hidden="false" customHeight="false" outlineLevel="0" collapsed="false">
      <c r="A12" s="20" t="s">
        <v>307</v>
      </c>
      <c r="B12" s="22" t="n">
        <f aca="false">SUMIF('Artwork Register'!$H$3:$H$120,"Available",'Artwork Register'!$AU$3:$AU$120)</f>
        <v>4800</v>
      </c>
    </row>
    <row r="13" customFormat="false" ht="15" hidden="false" customHeight="false" outlineLevel="0" collapsed="false">
      <c r="A13" s="20" t="s">
        <v>308</v>
      </c>
      <c r="B13" s="22" t="n">
        <f aca="false">SUM('Artwork Register'!$AX$3:$AX$120)</f>
        <v>5200</v>
      </c>
    </row>
    <row r="14" customFormat="false" ht="15" hidden="false" customHeight="false" outlineLevel="0" collapsed="false">
      <c r="A14" s="20" t="s">
        <v>309</v>
      </c>
      <c r="B14" s="22" t="n">
        <f aca="false">SUM('Artwork Register'!$BA$3:$BA$120)</f>
        <v>3640</v>
      </c>
    </row>
    <row r="15" customFormat="false" ht="15" hidden="false" customHeight="false" outlineLevel="0" collapsed="false">
      <c r="A15" s="20" t="s">
        <v>310</v>
      </c>
      <c r="B15" s="22" t="n">
        <f aca="false">SUM('Artwork Register'!$AR$3:$AR$120)</f>
        <v>850</v>
      </c>
    </row>
    <row r="16" customFormat="false" ht="15" hidden="false" customHeight="false" outlineLevel="0" collapsed="false">
      <c r="A16" s="20" t="s">
        <v>311</v>
      </c>
      <c r="B16" s="22" t="n">
        <f aca="false">SUM('Artwork Register'!$BB$3:$BB$120)</f>
        <v>3070</v>
      </c>
    </row>
    <row r="17" customFormat="false" ht="15" hidden="false" customHeight="false" outlineLevel="0" collapsed="false">
      <c r="A17" s="20" t="s">
        <v>312</v>
      </c>
      <c r="B17" s="22" t="n">
        <f aca="false">IFERROR(AVERAGEIF('Artwork Register'!$AX$3:$AX$120,"&gt;0"),0)</f>
        <v>5200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7"/>
    <col collapsed="false" customWidth="true" hidden="false" outlineLevel="0" max="10" min="9" style="0" width="14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23" t="s">
        <v>313</v>
      </c>
    </row>
    <row r="2" customFormat="false" ht="15" hidden="false" customHeight="false" outlineLevel="0" collapsed="false">
      <c r="A2" s="24" t="s">
        <v>34</v>
      </c>
      <c r="B2" s="24" t="s">
        <v>46</v>
      </c>
      <c r="C2" s="24" t="s">
        <v>314</v>
      </c>
      <c r="D2" s="24" t="s">
        <v>315</v>
      </c>
      <c r="E2" s="24" t="s">
        <v>316</v>
      </c>
      <c r="F2" s="24" t="s">
        <v>317</v>
      </c>
      <c r="G2" s="24" t="s">
        <v>318</v>
      </c>
      <c r="H2" s="24" t="s">
        <v>319</v>
      </c>
      <c r="I2" s="24" t="s">
        <v>72</v>
      </c>
      <c r="J2" s="24" t="s">
        <v>110</v>
      </c>
      <c r="K2" s="24" t="s">
        <v>320</v>
      </c>
    </row>
    <row r="3" customFormat="false" ht="15" hidden="false" customHeight="false" outlineLevel="0" collapsed="false">
      <c r="A3" s="2" t="s">
        <v>141</v>
      </c>
      <c r="B3" s="2" t="s">
        <v>150</v>
      </c>
      <c r="C3" s="2" t="s">
        <v>152</v>
      </c>
      <c r="D3" s="2" t="s">
        <v>153</v>
      </c>
      <c r="E3" s="2" t="s">
        <v>180</v>
      </c>
      <c r="F3" s="2" t="s">
        <v>158</v>
      </c>
      <c r="G3" s="2" t="s">
        <v>157</v>
      </c>
      <c r="H3" s="2" t="s">
        <v>321</v>
      </c>
      <c r="I3" s="2" t="s">
        <v>156</v>
      </c>
      <c r="J3" s="2" t="s">
        <v>160</v>
      </c>
      <c r="K3" s="2" t="s">
        <v>322</v>
      </c>
    </row>
    <row r="4" customFormat="false" ht="15" hidden="false" customHeight="false" outlineLevel="0" collapsed="false">
      <c r="A4" s="2" t="s">
        <v>304</v>
      </c>
      <c r="B4" s="2" t="s">
        <v>323</v>
      </c>
      <c r="C4" s="2" t="s">
        <v>324</v>
      </c>
      <c r="D4" s="2" t="s">
        <v>151</v>
      </c>
      <c r="E4" s="2" t="s">
        <v>325</v>
      </c>
      <c r="F4" s="2" t="s">
        <v>178</v>
      </c>
      <c r="G4" s="2" t="s">
        <v>82</v>
      </c>
      <c r="H4" s="2" t="s">
        <v>326</v>
      </c>
      <c r="I4" s="2" t="s">
        <v>327</v>
      </c>
      <c r="J4" s="2" t="s">
        <v>328</v>
      </c>
      <c r="K4" s="2" t="s">
        <v>329</v>
      </c>
    </row>
    <row r="5" customFormat="false" ht="15" hidden="false" customHeight="false" outlineLevel="0" collapsed="false">
      <c r="A5" s="2" t="s">
        <v>168</v>
      </c>
      <c r="B5" s="2" t="s">
        <v>330</v>
      </c>
      <c r="C5" s="2" t="s">
        <v>331</v>
      </c>
      <c r="E5" s="2" t="s">
        <v>332</v>
      </c>
      <c r="F5" s="2" t="s">
        <v>333</v>
      </c>
      <c r="G5" s="2" t="s">
        <v>334</v>
      </c>
      <c r="H5" s="2" t="s">
        <v>335</v>
      </c>
      <c r="I5" s="2" t="s">
        <v>336</v>
      </c>
      <c r="J5" s="2" t="s">
        <v>337</v>
      </c>
      <c r="K5" s="2" t="s">
        <v>338</v>
      </c>
    </row>
    <row r="6" customFormat="false" ht="15" hidden="false" customHeight="false" outlineLevel="0" collapsed="false">
      <c r="A6" s="2" t="s">
        <v>339</v>
      </c>
      <c r="B6" s="2" t="s">
        <v>340</v>
      </c>
      <c r="C6" s="2" t="s">
        <v>341</v>
      </c>
      <c r="E6" s="2" t="s">
        <v>342</v>
      </c>
      <c r="F6" s="2" t="s">
        <v>343</v>
      </c>
      <c r="G6" s="2" t="s">
        <v>344</v>
      </c>
      <c r="H6" s="2" t="s">
        <v>345</v>
      </c>
      <c r="I6" s="2" t="s">
        <v>346</v>
      </c>
      <c r="J6" s="2" t="s">
        <v>347</v>
      </c>
      <c r="K6" s="2" t="s">
        <v>348</v>
      </c>
    </row>
    <row r="7" customFormat="false" ht="15" hidden="false" customHeight="false" outlineLevel="0" collapsed="false">
      <c r="A7" s="2" t="s">
        <v>349</v>
      </c>
      <c r="C7" s="2" t="s">
        <v>350</v>
      </c>
      <c r="E7" s="2" t="s">
        <v>351</v>
      </c>
      <c r="F7" s="2" t="s">
        <v>352</v>
      </c>
      <c r="G7" s="2" t="s">
        <v>353</v>
      </c>
      <c r="H7" s="2" t="s">
        <v>354</v>
      </c>
      <c r="I7" s="2" t="s">
        <v>355</v>
      </c>
      <c r="J7" s="2" t="s">
        <v>356</v>
      </c>
      <c r="K7" s="2" t="s">
        <v>357</v>
      </c>
    </row>
    <row r="8" customFormat="false" ht="15" hidden="false" customHeight="false" outlineLevel="0" collapsed="false">
      <c r="A8" s="2" t="s">
        <v>358</v>
      </c>
      <c r="C8" s="2" t="s">
        <v>359</v>
      </c>
      <c r="E8" s="2" t="s">
        <v>360</v>
      </c>
      <c r="F8" s="2" t="s">
        <v>361</v>
      </c>
      <c r="H8" s="2" t="s">
        <v>362</v>
      </c>
      <c r="I8" s="2" t="s">
        <v>363</v>
      </c>
      <c r="J8" s="2" t="s">
        <v>364</v>
      </c>
      <c r="K8" s="2" t="s">
        <v>365</v>
      </c>
    </row>
    <row r="9" customFormat="false" ht="15" hidden="false" customHeight="false" outlineLevel="0" collapsed="false">
      <c r="A9" s="2" t="s">
        <v>305</v>
      </c>
      <c r="E9" s="2" t="s">
        <v>366</v>
      </c>
      <c r="F9" s="2" t="s">
        <v>367</v>
      </c>
      <c r="H9" s="2" t="s">
        <v>368</v>
      </c>
    </row>
    <row r="10" customFormat="false" ht="15" hidden="false" customHeight="false" outlineLevel="0" collapsed="false">
      <c r="A10" s="2" t="s">
        <v>306</v>
      </c>
      <c r="E10" s="2" t="s">
        <v>369</v>
      </c>
      <c r="F10" s="2" t="s">
        <v>370</v>
      </c>
    </row>
    <row r="11" customFormat="false" ht="15" hidden="false" customHeight="false" outlineLevel="0" collapsed="false">
      <c r="A11" s="2" t="s">
        <v>371</v>
      </c>
      <c r="E11" s="2" t="s">
        <v>372</v>
      </c>
      <c r="F11" s="2" t="s">
        <v>368</v>
      </c>
    </row>
    <row r="12" customFormat="false" ht="15" hidden="false" customHeight="false" outlineLevel="0" collapsed="false">
      <c r="A12" s="2" t="s">
        <v>373</v>
      </c>
      <c r="E12" s="2" t="s">
        <v>368</v>
      </c>
    </row>
    <row r="13" customFormat="false" ht="15" hidden="false" customHeight="false" outlineLevel="0" collapsed="false">
      <c r="A13" s="2" t="s">
        <v>374</v>
      </c>
    </row>
    <row r="14" customFormat="false" ht="15" hidden="false" customHeight="false" outlineLevel="0" collapsed="false">
      <c r="A14" s="2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2026-06-25T02:46:36Z</dcterms:created>
  <dc:creator>openpyxl</dc:creator>
  <dc:description/>
  <dc:language>en-US</dc:language>
  <cp:lastModifiedBy/>
  <dcterms:modified xsi:type="dcterms:W3CDTF">2026-06-25T02:48:20Z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